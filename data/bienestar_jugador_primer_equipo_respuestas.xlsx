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1'!$A$1:$N$4827</definedName>
  </definedNames>
  <calcPr/>
</workbook>
</file>

<file path=xl/sharedStrings.xml><?xml version="1.0" encoding="utf-8"?>
<sst xmlns="http://schemas.openxmlformats.org/spreadsheetml/2006/main" count="109487" uniqueCount="439">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</sst>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827" displayName="Form_Responses1" name="Form_Responses1" id="1">
  <autoFilter ref="$A$1:$N$4827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534">IF(A1591:A52534="","",INT(A1591:A52534))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2034">IF(
    D1591:D32034="",
    "",
    IFERROR(
      XLOOKUP(
        TRIM(D1591:D32034)&amp;"|"&amp;(B1591:B32034-1),
        $M$2:$M52534,
        $N$2:$N52534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IFERROR(__xludf.DUMMYFUNCTION("""COMPUTED_VALUE"""),"Alejando Zendejas|46148")</f>
        <v>Alejando Zendejas|46148</v>
      </c>
      <c r="N2663" s="6">
        <f>IFERROR(__xludf.DUMMYFUNCTION("""COMPUTED_VALUE"""),4.0)</f>
        <v>4</v>
      </c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IFERROR(__xludf.DUMMYFUNCTION("""COMPUTED_VALUE"""),"Dagoberto Espinoza|46148")</f>
        <v>Dagoberto Espinoza|46148</v>
      </c>
      <c r="N2664" s="6">
        <f>IFERROR(__xludf.DUMMYFUNCTION("""COMPUTED_VALUE"""),7.0)</f>
        <v>7</v>
      </c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IFERROR(__xludf.DUMMYFUNCTION("""COMPUTED_VALUE"""),"Miguel Vázquez|46148")</f>
        <v>Miguel Vázquez|46148</v>
      </c>
      <c r="N2665" s="6">
        <f>IFERROR(__xludf.DUMMYFUNCTION("""COMPUTED_VALUE"""),4.0)</f>
        <v>4</v>
      </c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IFERROR(__xludf.DUMMYFUNCTION("""COMPUTED_VALUE"""),"Rodrigo Dourado|46148")</f>
        <v>Rodrigo Dourado|46148</v>
      </c>
      <c r="N2666" s="6">
        <f>IFERROR(__xludf.DUMMYFUNCTION("""COMPUTED_VALUE"""),4.0)</f>
        <v>4</v>
      </c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IFERROR(__xludf.DUMMYFUNCTION("""COMPUTED_VALUE"""),"Néstor Araujo|46148")</f>
        <v>Néstor Araujo|46148</v>
      </c>
      <c r="N2667" s="6">
        <f>IFERROR(__xludf.DUMMYFUNCTION("""COMPUTED_VALUE"""),5.0)</f>
        <v>5</v>
      </c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IFERROR(__xludf.DUMMYFUNCTION("""COMPUTED_VALUE"""),"Fernando Tapia|46148")</f>
        <v>Fernando Tapia|46148</v>
      </c>
      <c r="N2668" s="6">
        <f>IFERROR(__xludf.DUMMYFUNCTION("""COMPUTED_VALUE"""),4.0)</f>
        <v>4</v>
      </c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IFERROR(__xludf.DUMMYFUNCTION("""COMPUTED_VALUE"""),"Patricio Salas|46148")</f>
        <v>Patricio Salas|46148</v>
      </c>
      <c r="N2669" s="6">
        <f>IFERROR(__xludf.DUMMYFUNCTION("""COMPUTED_VALUE"""),5.0)</f>
        <v>5</v>
      </c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IFERROR(__xludf.DUMMYFUNCTION("""COMPUTED_VALUE"""),"Kevin Álvarez|46148")</f>
        <v>Kevin Álvarez|46148</v>
      </c>
      <c r="N2670" s="6">
        <f>IFERROR(__xludf.DUMMYFUNCTION("""COMPUTED_VALUE"""),4.0)</f>
        <v>4</v>
      </c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IFERROR(__xludf.DUMMYFUNCTION("""COMPUTED_VALUE"""),"Isaías Violante|46148")</f>
        <v>Isaías Violante|46148</v>
      </c>
      <c r="N2671" s="6">
        <f>IFERROR(__xludf.DUMMYFUNCTION("""COMPUTED_VALUE"""),4.0)</f>
        <v>4</v>
      </c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IFERROR(__xludf.DUMMYFUNCTION("""COMPUTED_VALUE"""),"Thiago Espinosa|46148")</f>
        <v>Thiago Espinosa|46148</v>
      </c>
      <c r="N2672" s="6">
        <f>IFERROR(__xludf.DUMMYFUNCTION("""COMPUTED_VALUE"""),5.0)</f>
        <v>5</v>
      </c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IFERROR(__xludf.DUMMYFUNCTION("""COMPUTED_VALUE"""),"Alan Cervantes|46148")</f>
        <v>Alan Cervantes|46148</v>
      </c>
      <c r="N2673" s="6">
        <f>IFERROR(__xludf.DUMMYFUNCTION("""COMPUTED_VALUE"""),6.0)</f>
        <v>6</v>
      </c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IFERROR(__xludf.DUMMYFUNCTION("""COMPUTED_VALUE"""),"Rodolfo Cota|46148")</f>
        <v>Rodolfo Cota|46148</v>
      </c>
      <c r="N2674" s="6">
        <f>IFERROR(__xludf.DUMMYFUNCTION("""COMPUTED_VALUE"""),2.0)</f>
        <v>2</v>
      </c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IFERROR(__xludf.DUMMYFUNCTION("""COMPUTED_VALUE"""),"Vinícius Lima|46148")</f>
        <v>Vinícius Lima|46148</v>
      </c>
      <c r="N2675" s="6">
        <f>IFERROR(__xludf.DUMMYFUNCTION("""COMPUTED_VALUE"""),3.0)</f>
        <v>3</v>
      </c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IFERROR(__xludf.DUMMYFUNCTION("""COMPUTED_VALUE"""),"Jonathan Dos Santos|46148")</f>
        <v>Jonathan Dos Santos|46148</v>
      </c>
      <c r="N2676" s="6">
        <f>IFERROR(__xludf.DUMMYFUNCTION("""COMPUTED_VALUE"""),5.0)</f>
        <v>5</v>
      </c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IFERROR(__xludf.DUMMYFUNCTION("""COMPUTED_VALUE"""),"Alexis Gutiérrez|46148")</f>
        <v>Alexis Gutiérrez|46148</v>
      </c>
      <c r="N2677" s="6">
        <f>IFERROR(__xludf.DUMMYFUNCTION("""COMPUTED_VALUE"""),4.0)</f>
        <v>4</v>
      </c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IFERROR(__xludf.DUMMYFUNCTION("""COMPUTED_VALUE"""),"Erick Sánchez|46148")</f>
        <v>Erick Sánchez|46148</v>
      </c>
      <c r="N2678" s="6">
        <f>IFERROR(__xludf.DUMMYFUNCTION("""COMPUTED_VALUE"""),4.0)</f>
        <v>4</v>
      </c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IFERROR(__xludf.DUMMYFUNCTION("""COMPUTED_VALUE"""),"Santiago Naveda|46148")</f>
        <v>Santiago Naveda|46148</v>
      </c>
      <c r="N2679" s="6">
        <f>IFERROR(__xludf.DUMMYFUNCTION("""COMPUTED_VALUE"""),4.0)</f>
        <v>4</v>
      </c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IFERROR(__xludf.DUMMYFUNCTION("""COMPUTED_VALUE"""),"Ramón Juárez|46148")</f>
        <v>Ramón Juárez|46148</v>
      </c>
      <c r="N2680" s="6">
        <f>IFERROR(__xludf.DUMMYFUNCTION("""COMPUTED_VALUE"""),4.0)</f>
        <v>4</v>
      </c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IFERROR(__xludf.DUMMYFUNCTION("""COMPUTED_VALUE"""),"Raphael Veiga|46148")</f>
        <v>Raphael Veiga|46148</v>
      </c>
      <c r="N2681" s="6">
        <f>IFERROR(__xludf.DUMMYFUNCTION("""COMPUTED_VALUE"""),4.0)</f>
        <v>4</v>
      </c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IFERROR(__xludf.DUMMYFUNCTION("""COMPUTED_VALUE"""),"Aaron Mejia|46148")</f>
        <v>Aaron Mejia|46148</v>
      </c>
      <c r="N2682" s="6">
        <f>IFERROR(__xludf.DUMMYFUNCTION("""COMPUTED_VALUE"""),3.0)</f>
        <v>3</v>
      </c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IFERROR(__xludf.DUMMYFUNCTION("""COMPUTED_VALUE"""),"Ramón Juárez|46149")</f>
        <v>Ramón Juárez|46149</v>
      </c>
      <c r="N2683" s="6">
        <f>IFERROR(__xludf.DUMMYFUNCTION("""COMPUTED_VALUE"""),5.0)</f>
        <v>5</v>
      </c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IFERROR(__xludf.DUMMYFUNCTION("""COMPUTED_VALUE"""),"Erick Sánchez|46149")</f>
        <v>Erick Sánchez|46149</v>
      </c>
      <c r="N2684" s="6">
        <f>IFERROR(__xludf.DUMMYFUNCTION("""COMPUTED_VALUE"""),3.0)</f>
        <v>3</v>
      </c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IFERROR(__xludf.DUMMYFUNCTION("""COMPUTED_VALUE"""),"Aaron Mejia|46149")</f>
        <v>Aaron Mejia|46149</v>
      </c>
      <c r="N2685" s="6">
        <f>IFERROR(__xludf.DUMMYFUNCTION("""COMPUTED_VALUE"""),1.0)</f>
        <v>1</v>
      </c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IFERROR(__xludf.DUMMYFUNCTION("""COMPUTED_VALUE"""),"Patricio Salas|46149")</f>
        <v>Patricio Salas|46149</v>
      </c>
      <c r="N2686" s="6">
        <f>IFERROR(__xludf.DUMMYFUNCTION("""COMPUTED_VALUE"""),5.0)</f>
        <v>5</v>
      </c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IFERROR(__xludf.DUMMYFUNCTION("""COMPUTED_VALUE"""),"Kevin Álvarez|46149")</f>
        <v>Kevin Álvarez|46149</v>
      </c>
      <c r="N2687" s="6">
        <f>IFERROR(__xludf.DUMMYFUNCTION("""COMPUTED_VALUE"""),5.0)</f>
        <v>5</v>
      </c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IFERROR(__xludf.DUMMYFUNCTION("""COMPUTED_VALUE"""),"Fernando Tapia|46149")</f>
        <v>Fernando Tapia|46149</v>
      </c>
      <c r="N2688" s="6">
        <f>IFERROR(__xludf.DUMMYFUNCTION("""COMPUTED_VALUE"""),3.0)</f>
        <v>3</v>
      </c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IFERROR(__xludf.DUMMYFUNCTION("""COMPUTED_VALUE"""),"Alan Cervantes|46149")</f>
        <v>Alan Cervantes|46149</v>
      </c>
      <c r="N2689" s="6">
        <f>IFERROR(__xludf.DUMMYFUNCTION("""COMPUTED_VALUE"""),6.0)</f>
        <v>6</v>
      </c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IFERROR(__xludf.DUMMYFUNCTION("""COMPUTED_VALUE"""),"Rodolfo Cota|46149")</f>
        <v>Rodolfo Cota|46149</v>
      </c>
      <c r="N2690" s="6">
        <f>IFERROR(__xludf.DUMMYFUNCTION("""COMPUTED_VALUE"""),2.0)</f>
        <v>2</v>
      </c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IFERROR(__xludf.DUMMYFUNCTION("""COMPUTED_VALUE"""),"Vinícius Lima|46149")</f>
        <v>Vinícius Lima|46149</v>
      </c>
      <c r="N2691" s="6">
        <f>IFERROR(__xludf.DUMMYFUNCTION("""COMPUTED_VALUE"""),3.0)</f>
        <v>3</v>
      </c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IFERROR(__xludf.DUMMYFUNCTION("""COMPUTED_VALUE"""),"Isaías Violante|46149")</f>
        <v>Isaías Violante|46149</v>
      </c>
      <c r="N2692" s="6">
        <f>IFERROR(__xludf.DUMMYFUNCTION("""COMPUTED_VALUE"""),5.0)</f>
        <v>5</v>
      </c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IFERROR(__xludf.DUMMYFUNCTION("""COMPUTED_VALUE"""),"Alexis Gutiérrez|46149")</f>
        <v>Alexis Gutiérrez|46149</v>
      </c>
      <c r="N2693" s="6">
        <f>IFERROR(__xludf.DUMMYFUNCTION("""COMPUTED_VALUE"""),5.0)</f>
        <v>5</v>
      </c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IFERROR(__xludf.DUMMYFUNCTION("""COMPUTED_VALUE"""),"Néstor Araujo|46149")</f>
        <v>Néstor Araujo|46149</v>
      </c>
      <c r="N2694" s="6">
        <f>IFERROR(__xludf.DUMMYFUNCTION("""COMPUTED_VALUE"""),6.0)</f>
        <v>6</v>
      </c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IFERROR(__xludf.DUMMYFUNCTION("""COMPUTED_VALUE"""),"Rodrigo Dourado|46149")</f>
        <v>Rodrigo Dourado|46149</v>
      </c>
      <c r="N2695" s="6">
        <f>IFERROR(__xludf.DUMMYFUNCTION("""COMPUTED_VALUE"""),4.0)</f>
        <v>4</v>
      </c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IFERROR(__xludf.DUMMYFUNCTION("""COMPUTED_VALUE"""),"Raphael Veiga|46149")</f>
        <v>Raphael Veiga|46149</v>
      </c>
      <c r="N2696" s="6">
        <f>IFERROR(__xludf.DUMMYFUNCTION("""COMPUTED_VALUE"""),5.0)</f>
        <v>5</v>
      </c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IFERROR(__xludf.DUMMYFUNCTION("""COMPUTED_VALUE"""),"Thiago Espinosa|46149")</f>
        <v>Thiago Espinosa|46149</v>
      </c>
      <c r="N2697" s="6">
        <f>IFERROR(__xludf.DUMMYFUNCTION("""COMPUTED_VALUE"""),4.0)</f>
        <v>4</v>
      </c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IFERROR(__xludf.DUMMYFUNCTION("""COMPUTED_VALUE"""),"Dagoberto Espinoza|46149")</f>
        <v>Dagoberto Espinoza|46149</v>
      </c>
      <c r="N2698" s="6">
        <f>IFERROR(__xludf.DUMMYFUNCTION("""COMPUTED_VALUE"""),6.0)</f>
        <v>6</v>
      </c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IFERROR(__xludf.DUMMYFUNCTION("""COMPUTED_VALUE"""),"Miguel Vázquez|46149")</f>
        <v>Miguel Vázquez|46149</v>
      </c>
      <c r="N2699" s="6">
        <f>IFERROR(__xludf.DUMMYFUNCTION("""COMPUTED_VALUE"""),4.0)</f>
        <v>4</v>
      </c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IFERROR(__xludf.DUMMYFUNCTION("""COMPUTED_VALUE"""),"Brian Rodríguez|46149")</f>
        <v>Brian Rodríguez|46149</v>
      </c>
      <c r="N2700" s="6">
        <f>IFERROR(__xludf.DUMMYFUNCTION("""COMPUTED_VALUE"""),3.0)</f>
        <v>3</v>
      </c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IFERROR(__xludf.DUMMYFUNCTION("""COMPUTED_VALUE"""),"Santiago Naveda|46149")</f>
        <v>Santiago Naveda|46149</v>
      </c>
      <c r="N2701" s="6">
        <f>IFERROR(__xludf.DUMMYFUNCTION("""COMPUTED_VALUE"""),5.0)</f>
        <v>5</v>
      </c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IFERROR(__xludf.DUMMYFUNCTION("""COMPUTED_VALUE"""),"Kevin Álvarez|46150")</f>
        <v>Kevin Álvarez|46150</v>
      </c>
      <c r="N2702" s="6">
        <f>IFERROR(__xludf.DUMMYFUNCTION("""COMPUTED_VALUE"""),4.0)</f>
        <v>4</v>
      </c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IFERROR(__xludf.DUMMYFUNCTION("""COMPUTED_VALUE"""),"Raphael Veiga|46150")</f>
        <v>Raphael Veiga|46150</v>
      </c>
      <c r="N2703" s="6">
        <f>IFERROR(__xludf.DUMMYFUNCTION("""COMPUTED_VALUE"""),3.0)</f>
        <v>3</v>
      </c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IFERROR(__xludf.DUMMYFUNCTION("""COMPUTED_VALUE"""),"Brian Rodríguez|46150")</f>
        <v>Brian Rodríguez|46150</v>
      </c>
      <c r="N2704" s="6">
        <f>IFERROR(__xludf.DUMMYFUNCTION("""COMPUTED_VALUE"""),4.0)</f>
        <v>4</v>
      </c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IFERROR(__xludf.DUMMYFUNCTION("""COMPUTED_VALUE"""),"Thiago Espinosa|46150")</f>
        <v>Thiago Espinosa|46150</v>
      </c>
      <c r="N2705" s="6">
        <f>IFERROR(__xludf.DUMMYFUNCTION("""COMPUTED_VALUE"""),5.0)</f>
        <v>5</v>
      </c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IFERROR(__xludf.DUMMYFUNCTION("""COMPUTED_VALUE"""),"Aaron Mejia|46150")</f>
        <v>Aaron Mejia|46150</v>
      </c>
      <c r="N2706" s="6">
        <f>IFERROR(__xludf.DUMMYFUNCTION("""COMPUTED_VALUE"""),2.0)</f>
        <v>2</v>
      </c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IFERROR(__xludf.DUMMYFUNCTION("""COMPUTED_VALUE"""),"Néstor Araujo|46150")</f>
        <v>Néstor Araujo|46150</v>
      </c>
      <c r="N2707" s="6">
        <f>IFERROR(__xludf.DUMMYFUNCTION("""COMPUTED_VALUE"""),5.0)</f>
        <v>5</v>
      </c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IFERROR(__xludf.DUMMYFUNCTION("""COMPUTED_VALUE"""),"Ramón Juárez|46150")</f>
        <v>Ramón Juárez|46150</v>
      </c>
      <c r="N2708" s="6">
        <f>IFERROR(__xludf.DUMMYFUNCTION("""COMPUTED_VALUE"""),4.0)</f>
        <v>4</v>
      </c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IFERROR(__xludf.DUMMYFUNCTION("""COMPUTED_VALUE"""),"Fernando Tapia|46150")</f>
        <v>Fernando Tapia|46150</v>
      </c>
      <c r="N2709" s="6">
        <f>IFERROR(__xludf.DUMMYFUNCTION("""COMPUTED_VALUE"""),4.0)</f>
        <v>4</v>
      </c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IFERROR(__xludf.DUMMYFUNCTION("""COMPUTED_VALUE"""),"Dagoberto Espinoza|46150")</f>
        <v>Dagoberto Espinoza|46150</v>
      </c>
      <c r="N2710" s="6">
        <f>IFERROR(__xludf.DUMMYFUNCTION("""COMPUTED_VALUE"""),6.0)</f>
        <v>6</v>
      </c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IFERROR(__xludf.DUMMYFUNCTION("""COMPUTED_VALUE"""),"Isaías Violante|46150")</f>
        <v>Isaías Violante|46150</v>
      </c>
      <c r="N2711" s="6">
        <f>IFERROR(__xludf.DUMMYFUNCTION("""COMPUTED_VALUE"""),4.0)</f>
        <v>4</v>
      </c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IFERROR(__xludf.DUMMYFUNCTION("""COMPUTED_VALUE"""),"Miguel Vázquez|46150")</f>
        <v>Miguel Vázquez|46150</v>
      </c>
      <c r="N2712" s="6">
        <f>IFERROR(__xludf.DUMMYFUNCTION("""COMPUTED_VALUE"""),3.0)</f>
        <v>3</v>
      </c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IFERROR(__xludf.DUMMYFUNCTION("""COMPUTED_VALUE"""),"Alejando Zendejas|46150")</f>
        <v>Alejando Zendejas|46150</v>
      </c>
      <c r="N2713" s="6">
        <f>IFERROR(__xludf.DUMMYFUNCTION("""COMPUTED_VALUE"""),3.0)</f>
        <v>3</v>
      </c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IFERROR(__xludf.DUMMYFUNCTION("""COMPUTED_VALUE"""),"Rodrigo Dourado|46150")</f>
        <v>Rodrigo Dourado|46150</v>
      </c>
      <c r="N2714" s="6">
        <f>IFERROR(__xludf.DUMMYFUNCTION("""COMPUTED_VALUE"""),4.0)</f>
        <v>4</v>
      </c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IFERROR(__xludf.DUMMYFUNCTION("""COMPUTED_VALUE"""),"Jonathan Dos Santos|46150")</f>
        <v>Jonathan Dos Santos|46150</v>
      </c>
      <c r="N2715" s="6">
        <f>IFERROR(__xludf.DUMMYFUNCTION("""COMPUTED_VALUE"""),3.0)</f>
        <v>3</v>
      </c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IFERROR(__xludf.DUMMYFUNCTION("""COMPUTED_VALUE"""),"Santiago Naveda|46150")</f>
        <v>Santiago Naveda|46150</v>
      </c>
      <c r="N2716" s="6">
        <f>IFERROR(__xludf.DUMMYFUNCTION("""COMPUTED_VALUE"""),4.0)</f>
        <v>4</v>
      </c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IFERROR(__xludf.DUMMYFUNCTION("""COMPUTED_VALUE"""),"Henry Martín|46150")</f>
        <v>Henry Martín|46150</v>
      </c>
      <c r="N2717" s="6">
        <f>IFERROR(__xludf.DUMMYFUNCTION("""COMPUTED_VALUE"""),4.0)</f>
        <v>4</v>
      </c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IFERROR(__xludf.DUMMYFUNCTION("""COMPUTED_VALUE"""),"Thiago Espinosa|46150")</f>
        <v>Thiago Espinosa|46150</v>
      </c>
      <c r="N2718" s="6">
        <f>IFERROR(__xludf.DUMMYFUNCTION("""COMPUTED_VALUE"""),2.0)</f>
        <v>2</v>
      </c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IFERROR(__xludf.DUMMYFUNCTION("""COMPUTED_VALUE"""),"Rodolfo Cota|46150")</f>
        <v>Rodolfo Cota|46150</v>
      </c>
      <c r="N2719" s="6">
        <f>IFERROR(__xludf.DUMMYFUNCTION("""COMPUTED_VALUE"""),2.0)</f>
        <v>2</v>
      </c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hidden="1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hidden="1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hidden="1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hidden="1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hidden="1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hidden="1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hidden="1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hidden="1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hidden="1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hidden="1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hidden="1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hidden="1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hidden="1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hidden="1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hidden="1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hidden="1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hidden="1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hidden="1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hidden="1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hidden="1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hidden="1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hidden="1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hidden="1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hidden="1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hidden="1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hidden="1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hidden="1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hidden="1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hidden="1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hidden="1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hidden="1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hidden="1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hidden="1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hidden="1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hidden="1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hidden="1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hidden="1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hidden="1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hidden="1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hidden="1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hidden="1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hidden="1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hidden="1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hidden="1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hidden="1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hidden="1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 ht="22.5" hidden="1" customHeight="1">
      <c r="A4760" s="7">
        <v>46149.35157068287</v>
      </c>
      <c r="B4760" s="12">
        <v>46149.0</v>
      </c>
      <c r="C4760" s="8" t="s">
        <v>30</v>
      </c>
      <c r="D4760" s="8" t="s">
        <v>248</v>
      </c>
      <c r="E4760" s="8" t="s">
        <v>16</v>
      </c>
      <c r="F4760" s="8" t="s">
        <v>16</v>
      </c>
      <c r="G4760" s="8">
        <v>8.0</v>
      </c>
      <c r="H4760" s="8" t="s">
        <v>21</v>
      </c>
      <c r="I4760" s="8" t="s">
        <v>19</v>
      </c>
      <c r="J4760" s="12">
        <v>7.0</v>
      </c>
      <c r="M4760" s="12" t="str">
        <f>IFERROR(__xludf.DUMMYFUNCTION("""COMPUTED_VALUE"""),"")</f>
        <v/>
      </c>
      <c r="N4760" s="12"/>
    </row>
    <row r="4761" ht="22.5" hidden="1" customHeight="1">
      <c r="A4761" s="7">
        <v>46149.35184322917</v>
      </c>
      <c r="B4761" s="12">
        <v>46149.0</v>
      </c>
      <c r="C4761" s="8" t="s">
        <v>30</v>
      </c>
      <c r="D4761" s="8" t="s">
        <v>176</v>
      </c>
      <c r="E4761" s="8" t="s">
        <v>16</v>
      </c>
      <c r="F4761" s="8" t="s">
        <v>16</v>
      </c>
      <c r="G4761" s="8">
        <v>8.0</v>
      </c>
      <c r="H4761" s="8" t="s">
        <v>21</v>
      </c>
      <c r="I4761" s="8" t="s">
        <v>19</v>
      </c>
      <c r="J4761" s="12">
        <v>4.0</v>
      </c>
      <c r="M4761" s="12" t="str">
        <f>IFERROR(__xludf.DUMMYFUNCTION("""COMPUTED_VALUE"""),"")</f>
        <v/>
      </c>
      <c r="N4761" s="12"/>
    </row>
    <row r="4762" ht="22.5" hidden="1" customHeight="1">
      <c r="A4762" s="7">
        <v>46149.35230513889</v>
      </c>
      <c r="B4762" s="12">
        <v>46149.0</v>
      </c>
      <c r="C4762" s="8" t="s">
        <v>30</v>
      </c>
      <c r="D4762" s="8" t="s">
        <v>279</v>
      </c>
      <c r="E4762" s="8" t="s">
        <v>16</v>
      </c>
      <c r="F4762" s="8" t="s">
        <v>16</v>
      </c>
      <c r="G4762" s="8">
        <v>8.0</v>
      </c>
      <c r="H4762" s="8" t="s">
        <v>21</v>
      </c>
      <c r="I4762" s="8" t="s">
        <v>19</v>
      </c>
      <c r="J4762" s="12">
        <v>5.0</v>
      </c>
      <c r="M4762" s="12" t="str">
        <f>IFERROR(__xludf.DUMMYFUNCTION("""COMPUTED_VALUE"""),"")</f>
        <v/>
      </c>
      <c r="N4762" s="12"/>
    </row>
    <row r="4763" ht="22.5" hidden="1" customHeight="1">
      <c r="A4763" s="7">
        <v>46149.35253469908</v>
      </c>
      <c r="B4763" s="12">
        <v>46149.0</v>
      </c>
      <c r="C4763" s="8" t="s">
        <v>30</v>
      </c>
      <c r="D4763" s="8" t="s">
        <v>104</v>
      </c>
      <c r="E4763" s="8" t="s">
        <v>16</v>
      </c>
      <c r="F4763" s="8" t="s">
        <v>16</v>
      </c>
      <c r="G4763" s="8">
        <v>8.0</v>
      </c>
      <c r="H4763" s="8" t="s">
        <v>21</v>
      </c>
      <c r="I4763" s="8" t="s">
        <v>19</v>
      </c>
      <c r="J4763" s="12">
        <v>2.0</v>
      </c>
      <c r="M4763" s="12" t="str">
        <f>IFERROR(__xludf.DUMMYFUNCTION("""COMPUTED_VALUE"""),"")</f>
        <v/>
      </c>
      <c r="N4763" s="12"/>
    </row>
    <row r="4764" ht="22.5" hidden="1" customHeight="1">
      <c r="A4764" s="7">
        <v>46149.35290697917</v>
      </c>
      <c r="B4764" s="12">
        <v>46149.0</v>
      </c>
      <c r="C4764" s="8" t="s">
        <v>30</v>
      </c>
      <c r="D4764" s="8" t="s">
        <v>257</v>
      </c>
      <c r="E4764" s="8" t="s">
        <v>16</v>
      </c>
      <c r="F4764" s="8" t="s">
        <v>16</v>
      </c>
      <c r="G4764" s="8">
        <v>8.0</v>
      </c>
      <c r="H4764" s="8" t="s">
        <v>21</v>
      </c>
      <c r="I4764" s="8" t="s">
        <v>19</v>
      </c>
      <c r="J4764" s="12">
        <v>5.0</v>
      </c>
      <c r="M4764" s="12" t="str">
        <f>IFERROR(__xludf.DUMMYFUNCTION("""COMPUTED_VALUE"""),"")</f>
        <v/>
      </c>
      <c r="N4764" s="12"/>
    </row>
    <row r="4765" ht="22.5" hidden="1" customHeight="1">
      <c r="A4765" s="7">
        <v>46149.3531278588</v>
      </c>
      <c r="B4765" s="12">
        <v>46149.0</v>
      </c>
      <c r="C4765" s="8" t="s">
        <v>30</v>
      </c>
      <c r="D4765" s="8" t="s">
        <v>256</v>
      </c>
      <c r="E4765" s="8" t="s">
        <v>16</v>
      </c>
      <c r="F4765" s="8" t="s">
        <v>16</v>
      </c>
      <c r="G4765" s="8">
        <v>8.0</v>
      </c>
      <c r="H4765" s="8" t="s">
        <v>21</v>
      </c>
      <c r="I4765" s="8" t="s">
        <v>19</v>
      </c>
      <c r="J4765" s="12" t="s">
        <v>397</v>
      </c>
      <c r="M4765" s="12" t="str">
        <f>IFERROR(__xludf.DUMMYFUNCTION("""COMPUTED_VALUE"""),"")</f>
        <v/>
      </c>
      <c r="N4765" s="12"/>
    </row>
    <row r="4766" ht="22.5" hidden="1" customHeight="1">
      <c r="A4766" s="7">
        <v>46149.35652234954</v>
      </c>
      <c r="B4766" s="12">
        <v>46149.0</v>
      </c>
      <c r="C4766" s="8" t="s">
        <v>30</v>
      </c>
      <c r="D4766" s="8" t="s">
        <v>173</v>
      </c>
      <c r="E4766" s="8" t="s">
        <v>16</v>
      </c>
      <c r="F4766" s="8" t="s">
        <v>16</v>
      </c>
      <c r="G4766" s="8">
        <v>8.0</v>
      </c>
      <c r="H4766" s="8" t="s">
        <v>21</v>
      </c>
      <c r="I4766" s="8" t="s">
        <v>19</v>
      </c>
      <c r="J4766" s="12">
        <v>4.0</v>
      </c>
      <c r="M4766" s="12" t="str">
        <f>IFERROR(__xludf.DUMMYFUNCTION("""COMPUTED_VALUE"""),"")</f>
        <v/>
      </c>
      <c r="N4766" s="12"/>
    </row>
    <row r="4767" ht="22.5" hidden="1" customHeight="1">
      <c r="A4767" s="7">
        <v>46149.3687437037</v>
      </c>
      <c r="B4767" s="12">
        <v>46149.0</v>
      </c>
      <c r="C4767" s="8" t="s">
        <v>30</v>
      </c>
      <c r="D4767" s="8" t="s">
        <v>411</v>
      </c>
      <c r="E4767" s="8" t="s">
        <v>16</v>
      </c>
      <c r="F4767" s="8" t="s">
        <v>16</v>
      </c>
      <c r="G4767" s="8">
        <v>8.0</v>
      </c>
      <c r="H4767" s="8" t="s">
        <v>21</v>
      </c>
      <c r="I4767" s="8" t="s">
        <v>19</v>
      </c>
      <c r="J4767" s="12">
        <v>3.0</v>
      </c>
      <c r="M4767" s="12" t="str">
        <f>IFERROR(__xludf.DUMMYFUNCTION("""COMPUTED_VALUE"""),"")</f>
        <v/>
      </c>
      <c r="N4767" s="12"/>
    </row>
    <row r="4768" ht="22.5" hidden="1" customHeight="1">
      <c r="A4768" s="7">
        <v>46149.36899407407</v>
      </c>
      <c r="B4768" s="12">
        <v>46149.0</v>
      </c>
      <c r="C4768" s="8" t="s">
        <v>30</v>
      </c>
      <c r="D4768" s="8" t="s">
        <v>368</v>
      </c>
      <c r="E4768" s="8" t="s">
        <v>16</v>
      </c>
      <c r="F4768" s="8" t="s">
        <v>16</v>
      </c>
      <c r="G4768" s="8">
        <v>7.0</v>
      </c>
      <c r="H4768" s="8" t="s">
        <v>24</v>
      </c>
      <c r="I4768" s="8" t="s">
        <v>380</v>
      </c>
      <c r="J4768" s="12">
        <v>5.0</v>
      </c>
      <c r="M4768" s="12" t="str">
        <f>IFERROR(__xludf.DUMMYFUNCTION("""COMPUTED_VALUE"""),"")</f>
        <v/>
      </c>
      <c r="N4768" s="12"/>
    </row>
    <row r="4769" ht="22.5" hidden="1" customHeight="1">
      <c r="A4769" s="7">
        <v>46149.369309131944</v>
      </c>
      <c r="B4769" s="12">
        <v>46149.0</v>
      </c>
      <c r="C4769" s="8" t="s">
        <v>30</v>
      </c>
      <c r="D4769" s="8" t="s">
        <v>392</v>
      </c>
      <c r="E4769" s="8" t="s">
        <v>16</v>
      </c>
      <c r="F4769" s="8" t="s">
        <v>16</v>
      </c>
      <c r="G4769" s="8">
        <v>7.0</v>
      </c>
      <c r="H4769" s="8" t="s">
        <v>24</v>
      </c>
      <c r="I4769" s="8" t="s">
        <v>27</v>
      </c>
      <c r="J4769" s="12" t="s">
        <v>397</v>
      </c>
      <c r="M4769" s="12" t="str">
        <f>IFERROR(__xludf.DUMMYFUNCTION("""COMPUTED_VALUE"""),"")</f>
        <v/>
      </c>
      <c r="N4769" s="12"/>
    </row>
    <row r="4770" ht="22.5" hidden="1" customHeight="1">
      <c r="A4770" s="7">
        <v>46149.36955113426</v>
      </c>
      <c r="B4770" s="12">
        <v>46149.0</v>
      </c>
      <c r="C4770" s="8" t="s">
        <v>30</v>
      </c>
      <c r="D4770" s="8" t="s">
        <v>412</v>
      </c>
      <c r="E4770" s="8" t="s">
        <v>16</v>
      </c>
      <c r="F4770" s="8" t="s">
        <v>16</v>
      </c>
      <c r="G4770" s="8">
        <v>8.0</v>
      </c>
      <c r="H4770" s="8" t="s">
        <v>21</v>
      </c>
      <c r="I4770" s="8" t="s">
        <v>19</v>
      </c>
      <c r="J4770" s="12">
        <v>4.0</v>
      </c>
      <c r="M4770" s="12" t="str">
        <f>IFERROR(__xludf.DUMMYFUNCTION("""COMPUTED_VALUE"""),"")</f>
        <v/>
      </c>
      <c r="N4770" s="12"/>
    </row>
    <row r="4771" ht="22.5" hidden="1" customHeight="1">
      <c r="A4771" s="7">
        <v>46149.36989195602</v>
      </c>
      <c r="B4771" s="12">
        <v>46149.0</v>
      </c>
      <c r="C4771" s="8" t="s">
        <v>30</v>
      </c>
      <c r="D4771" s="8" t="s">
        <v>413</v>
      </c>
      <c r="E4771" s="8" t="s">
        <v>16</v>
      </c>
      <c r="F4771" s="8" t="s">
        <v>59</v>
      </c>
      <c r="G4771" s="8">
        <v>6.0</v>
      </c>
      <c r="H4771" s="8" t="s">
        <v>24</v>
      </c>
      <c r="I4771" s="8" t="s">
        <v>78</v>
      </c>
      <c r="J4771" s="12">
        <v>4.0</v>
      </c>
      <c r="M4771" s="12" t="str">
        <f>IFERROR(__xludf.DUMMYFUNCTION("""COMPUTED_VALUE"""),"")</f>
        <v/>
      </c>
      <c r="N4771" s="12"/>
    </row>
    <row r="4772" ht="22.5" hidden="1" customHeight="1">
      <c r="A4772" s="7">
        <v>46149.37013780093</v>
      </c>
      <c r="B4772" s="12">
        <v>46149.0</v>
      </c>
      <c r="C4772" s="8" t="s">
        <v>30</v>
      </c>
      <c r="D4772" s="8" t="s">
        <v>422</v>
      </c>
      <c r="E4772" s="8" t="s">
        <v>16</v>
      </c>
      <c r="F4772" s="8" t="s">
        <v>16</v>
      </c>
      <c r="G4772" s="8">
        <v>6.0</v>
      </c>
      <c r="H4772" s="8" t="s">
        <v>21</v>
      </c>
      <c r="I4772" s="8" t="s">
        <v>19</v>
      </c>
      <c r="J4772" s="12">
        <v>5.0</v>
      </c>
      <c r="M4772" s="12" t="str">
        <f>IFERROR(__xludf.DUMMYFUNCTION("""COMPUTED_VALUE"""),"")</f>
        <v/>
      </c>
      <c r="N4772" s="12"/>
    </row>
    <row r="4773" ht="22.5" hidden="1" customHeight="1">
      <c r="A4773" s="7">
        <v>46149.37039711805</v>
      </c>
      <c r="B4773" s="12">
        <v>46149.0</v>
      </c>
      <c r="C4773" s="8" t="s">
        <v>30</v>
      </c>
      <c r="D4773" s="8" t="s">
        <v>349</v>
      </c>
      <c r="E4773" s="8" t="s">
        <v>16</v>
      </c>
      <c r="F4773" s="8" t="s">
        <v>16</v>
      </c>
      <c r="G4773" s="8">
        <v>8.0</v>
      </c>
      <c r="H4773" s="8" t="s">
        <v>24</v>
      </c>
      <c r="I4773" s="8" t="s">
        <v>78</v>
      </c>
      <c r="J4773" s="12">
        <v>4.0</v>
      </c>
      <c r="M4773" s="12" t="str">
        <f>IFERROR(__xludf.DUMMYFUNCTION("""COMPUTED_VALUE"""),"")</f>
        <v/>
      </c>
      <c r="N4773" s="12"/>
    </row>
    <row r="4774" ht="22.5" hidden="1" customHeight="1">
      <c r="A4774" s="7">
        <v>46149.37069513889</v>
      </c>
      <c r="B4774" s="12">
        <v>46149.0</v>
      </c>
      <c r="C4774" s="8" t="s">
        <v>30</v>
      </c>
      <c r="D4774" s="8" t="s">
        <v>393</v>
      </c>
      <c r="E4774" s="8" t="s">
        <v>16</v>
      </c>
      <c r="F4774" s="8" t="s">
        <v>16</v>
      </c>
      <c r="G4774" s="8">
        <v>7.0</v>
      </c>
      <c r="H4774" s="8" t="s">
        <v>24</v>
      </c>
      <c r="I4774" s="8" t="s">
        <v>27</v>
      </c>
      <c r="J4774" s="12" t="s">
        <v>397</v>
      </c>
      <c r="M4774" s="12" t="str">
        <f>IFERROR(__xludf.DUMMYFUNCTION("""COMPUTED_VALUE"""),"")</f>
        <v/>
      </c>
      <c r="N4774" s="12"/>
    </row>
    <row r="4775" ht="22.5" hidden="1" customHeight="1">
      <c r="A4775" s="7">
        <v>46149.37172178241</v>
      </c>
      <c r="B4775" s="12">
        <v>46149.0</v>
      </c>
      <c r="C4775" s="8" t="s">
        <v>30</v>
      </c>
      <c r="D4775" s="8" t="s">
        <v>334</v>
      </c>
      <c r="E4775" s="8" t="s">
        <v>16</v>
      </c>
      <c r="F4775" s="8" t="s">
        <v>16</v>
      </c>
      <c r="G4775" s="8">
        <v>8.0</v>
      </c>
      <c r="H4775" s="8" t="s">
        <v>24</v>
      </c>
      <c r="I4775" s="8" t="s">
        <v>433</v>
      </c>
      <c r="J4775" s="12">
        <v>4.0</v>
      </c>
      <c r="M4775" s="12" t="str">
        <f>IFERROR(__xludf.DUMMYFUNCTION("""COMPUTED_VALUE"""),"")</f>
        <v/>
      </c>
      <c r="N4775" s="12"/>
    </row>
    <row r="4776" ht="22.5" hidden="1" customHeight="1">
      <c r="A4776" s="7">
        <v>46149.38272542824</v>
      </c>
      <c r="B4776" s="12">
        <v>46149.0</v>
      </c>
      <c r="C4776" s="8" t="s">
        <v>30</v>
      </c>
      <c r="D4776" s="8" t="s">
        <v>258</v>
      </c>
      <c r="E4776" s="8" t="s">
        <v>16</v>
      </c>
      <c r="F4776" s="8" t="s">
        <v>16</v>
      </c>
      <c r="G4776" s="8">
        <v>8.0</v>
      </c>
      <c r="H4776" s="8" t="s">
        <v>24</v>
      </c>
      <c r="I4776" s="8" t="s">
        <v>78</v>
      </c>
      <c r="J4776" s="12" t="s">
        <v>397</v>
      </c>
      <c r="M4776" s="12" t="str">
        <f>IFERROR(__xludf.DUMMYFUNCTION("""COMPUTED_VALUE"""),"")</f>
        <v/>
      </c>
      <c r="N4776" s="12"/>
    </row>
    <row r="4777" ht="22.5" hidden="1" customHeight="1">
      <c r="A4777" s="7">
        <v>46149.383062442124</v>
      </c>
      <c r="B4777" s="12">
        <v>46149.0</v>
      </c>
      <c r="C4777" s="8" t="s">
        <v>30</v>
      </c>
      <c r="D4777" s="8" t="s">
        <v>394</v>
      </c>
      <c r="E4777" s="8" t="s">
        <v>16</v>
      </c>
      <c r="F4777" s="8" t="s">
        <v>16</v>
      </c>
      <c r="G4777" s="8">
        <v>8.0</v>
      </c>
      <c r="H4777" s="8" t="s">
        <v>21</v>
      </c>
      <c r="I4777" s="8" t="s">
        <v>19</v>
      </c>
      <c r="J4777" s="12">
        <v>4.0</v>
      </c>
      <c r="M4777" s="12" t="str">
        <f>IFERROR(__xludf.DUMMYFUNCTION("""COMPUTED_VALUE"""),"")</f>
        <v/>
      </c>
      <c r="N4777" s="12"/>
    </row>
    <row r="4778" ht="22.5" hidden="1" customHeight="1">
      <c r="A4778" s="7">
        <v>46149.38333491898</v>
      </c>
      <c r="B4778" s="12">
        <v>46149.0</v>
      </c>
      <c r="C4778" s="8" t="s">
        <v>30</v>
      </c>
      <c r="D4778" s="8" t="s">
        <v>356</v>
      </c>
      <c r="E4778" s="8" t="s">
        <v>16</v>
      </c>
      <c r="F4778" s="8" t="s">
        <v>16</v>
      </c>
      <c r="G4778" s="8">
        <v>8.0</v>
      </c>
      <c r="H4778" s="8" t="s">
        <v>24</v>
      </c>
      <c r="I4778" s="8" t="s">
        <v>19</v>
      </c>
      <c r="J4778" s="12">
        <v>4.0</v>
      </c>
      <c r="M4778" s="12" t="str">
        <f>IFERROR(__xludf.DUMMYFUNCTION("""COMPUTED_VALUE"""),"")</f>
        <v/>
      </c>
      <c r="N4778" s="12"/>
    </row>
    <row r="4779" ht="22.5" hidden="1" customHeight="1">
      <c r="A4779" s="7">
        <v>46149.3835715625</v>
      </c>
      <c r="B4779" s="12">
        <v>46149.0</v>
      </c>
      <c r="C4779" s="8" t="s">
        <v>30</v>
      </c>
      <c r="D4779" s="8" t="s">
        <v>407</v>
      </c>
      <c r="E4779" s="8" t="s">
        <v>16</v>
      </c>
      <c r="F4779" s="8" t="s">
        <v>16</v>
      </c>
      <c r="G4779" s="8">
        <v>8.0</v>
      </c>
      <c r="H4779" s="8" t="s">
        <v>24</v>
      </c>
      <c r="I4779" s="8" t="s">
        <v>49</v>
      </c>
      <c r="J4779" s="12">
        <v>4.0</v>
      </c>
      <c r="M4779" s="12" t="str">
        <f>IFERROR(__xludf.DUMMYFUNCTION("""COMPUTED_VALUE"""),"")</f>
        <v/>
      </c>
      <c r="N4779" s="12"/>
    </row>
    <row r="4780" ht="22.5" hidden="1" customHeight="1">
      <c r="A4780" s="7">
        <v>46149.38384362269</v>
      </c>
      <c r="B4780" s="12">
        <v>46149.0</v>
      </c>
      <c r="C4780" s="8" t="s">
        <v>30</v>
      </c>
      <c r="D4780" s="8" t="s">
        <v>209</v>
      </c>
      <c r="E4780" s="8" t="s">
        <v>16</v>
      </c>
      <c r="F4780" s="8" t="s">
        <v>16</v>
      </c>
      <c r="G4780" s="8">
        <v>8.0</v>
      </c>
      <c r="H4780" s="8" t="s">
        <v>21</v>
      </c>
      <c r="I4780" s="8" t="s">
        <v>19</v>
      </c>
      <c r="J4780" s="12">
        <v>4.0</v>
      </c>
      <c r="M4780" s="12" t="str">
        <f>IFERROR(__xludf.DUMMYFUNCTION("""COMPUTED_VALUE"""),"")</f>
        <v/>
      </c>
      <c r="N4780" s="12"/>
    </row>
    <row r="4781" ht="22.5" hidden="1" customHeight="1">
      <c r="A4781" s="7">
        <v>46149.38872188657</v>
      </c>
      <c r="B4781" s="12">
        <v>46149.0</v>
      </c>
      <c r="C4781" s="8" t="s">
        <v>30</v>
      </c>
      <c r="D4781" s="8" t="s">
        <v>246</v>
      </c>
      <c r="E4781" s="8" t="s">
        <v>16</v>
      </c>
      <c r="F4781" s="8" t="s">
        <v>16</v>
      </c>
      <c r="G4781" s="8">
        <v>7.0</v>
      </c>
      <c r="H4781" s="8" t="s">
        <v>24</v>
      </c>
      <c r="I4781" s="8" t="s">
        <v>239</v>
      </c>
      <c r="J4781" s="12" t="s">
        <v>397</v>
      </c>
      <c r="M4781" s="12" t="str">
        <f>IFERROR(__xludf.DUMMYFUNCTION("""COMPUTED_VALUE"""),"")</f>
        <v/>
      </c>
      <c r="N4781" s="12"/>
    </row>
    <row r="4782" ht="22.5" hidden="1" customHeight="1">
      <c r="A4782" s="7">
        <v>46150.35403980324</v>
      </c>
      <c r="B4782" s="12">
        <v>46150.0</v>
      </c>
      <c r="C4782" s="8" t="s">
        <v>47</v>
      </c>
      <c r="D4782" s="8" t="s">
        <v>256</v>
      </c>
      <c r="E4782" s="8" t="s">
        <v>16</v>
      </c>
      <c r="F4782" s="8" t="s">
        <v>16</v>
      </c>
      <c r="G4782" s="8">
        <v>8.0</v>
      </c>
      <c r="H4782" s="8" t="s">
        <v>21</v>
      </c>
      <c r="I4782" s="8" t="s">
        <v>19</v>
      </c>
      <c r="J4782" s="12" t="s">
        <v>397</v>
      </c>
      <c r="M4782" s="12" t="str">
        <f>IFERROR(__xludf.DUMMYFUNCTION("""COMPUTED_VALUE"""),"")</f>
        <v/>
      </c>
      <c r="N4782" s="12"/>
    </row>
    <row r="4783" ht="22.5" hidden="1" customHeight="1">
      <c r="A4783" s="7">
        <v>46150.35440149305</v>
      </c>
      <c r="B4783" s="12">
        <v>46150.0</v>
      </c>
      <c r="C4783" s="8" t="s">
        <v>47</v>
      </c>
      <c r="D4783" s="8" t="s">
        <v>411</v>
      </c>
      <c r="E4783" s="8" t="s">
        <v>16</v>
      </c>
      <c r="F4783" s="8" t="s">
        <v>16</v>
      </c>
      <c r="G4783" s="8">
        <v>8.0</v>
      </c>
      <c r="H4783" s="8" t="s">
        <v>21</v>
      </c>
      <c r="I4783" s="8" t="s">
        <v>19</v>
      </c>
      <c r="J4783" s="12">
        <v>1.0</v>
      </c>
      <c r="M4783" s="12" t="str">
        <f>IFERROR(__xludf.DUMMYFUNCTION("""COMPUTED_VALUE"""),"")</f>
        <v/>
      </c>
      <c r="N4783" s="12"/>
    </row>
    <row r="4784" ht="22.5" hidden="1" customHeight="1">
      <c r="A4784" s="7">
        <v>46150.354671863424</v>
      </c>
      <c r="B4784" s="12">
        <v>46150.0</v>
      </c>
      <c r="C4784" s="8" t="s">
        <v>47</v>
      </c>
      <c r="D4784" s="8" t="s">
        <v>279</v>
      </c>
      <c r="E4784" s="8" t="s">
        <v>16</v>
      </c>
      <c r="F4784" s="8" t="s">
        <v>16</v>
      </c>
      <c r="G4784" s="8">
        <v>8.0</v>
      </c>
      <c r="H4784" s="8" t="s">
        <v>21</v>
      </c>
      <c r="I4784" s="8" t="s">
        <v>19</v>
      </c>
      <c r="J4784" s="12" t="s">
        <v>397</v>
      </c>
      <c r="M4784" s="12" t="str">
        <f>IFERROR(__xludf.DUMMYFUNCTION("""COMPUTED_VALUE"""),"")</f>
        <v/>
      </c>
      <c r="N4784" s="12"/>
    </row>
    <row r="4785" ht="22.5" hidden="1" customHeight="1">
      <c r="A4785" s="7">
        <v>46150.354922094906</v>
      </c>
      <c r="B4785" s="12">
        <v>46150.0</v>
      </c>
      <c r="C4785" s="8" t="s">
        <v>47</v>
      </c>
      <c r="D4785" s="8" t="s">
        <v>393</v>
      </c>
      <c r="E4785" s="8" t="s">
        <v>16</v>
      </c>
      <c r="F4785" s="8" t="s">
        <v>16</v>
      </c>
      <c r="G4785" s="8">
        <v>8.0</v>
      </c>
      <c r="H4785" s="8" t="s">
        <v>24</v>
      </c>
      <c r="I4785" s="8" t="s">
        <v>27</v>
      </c>
      <c r="J4785" s="12" t="s">
        <v>397</v>
      </c>
      <c r="M4785" s="12" t="str">
        <f>IFERROR(__xludf.DUMMYFUNCTION("""COMPUTED_VALUE"""),"")</f>
        <v/>
      </c>
      <c r="N4785" s="12"/>
    </row>
    <row r="4786" ht="22.5" hidden="1" customHeight="1">
      <c r="A4786" s="7">
        <v>46150.355174675926</v>
      </c>
      <c r="B4786" s="12">
        <v>46150.0</v>
      </c>
      <c r="C4786" s="8" t="s">
        <v>47</v>
      </c>
      <c r="D4786" s="8" t="s">
        <v>257</v>
      </c>
      <c r="E4786" s="8" t="s">
        <v>16</v>
      </c>
      <c r="F4786" s="8" t="s">
        <v>16</v>
      </c>
      <c r="G4786" s="8">
        <v>8.0</v>
      </c>
      <c r="H4786" s="8" t="s">
        <v>21</v>
      </c>
      <c r="I4786" s="8" t="s">
        <v>19</v>
      </c>
      <c r="J4786" s="12">
        <v>6.0</v>
      </c>
      <c r="M4786" s="12" t="str">
        <f>IFERROR(__xludf.DUMMYFUNCTION("""COMPUTED_VALUE"""),"")</f>
        <v/>
      </c>
      <c r="N4786" s="12"/>
    </row>
    <row r="4787" ht="22.5" hidden="1" customHeight="1">
      <c r="A4787" s="7">
        <v>46150.35541576389</v>
      </c>
      <c r="B4787" s="12">
        <v>46150.0</v>
      </c>
      <c r="C4787" s="8" t="s">
        <v>47</v>
      </c>
      <c r="D4787" s="8" t="s">
        <v>394</v>
      </c>
      <c r="E4787" s="8" t="s">
        <v>16</v>
      </c>
      <c r="F4787" s="8" t="s">
        <v>16</v>
      </c>
      <c r="G4787" s="8">
        <v>8.0</v>
      </c>
      <c r="H4787" s="8" t="s">
        <v>21</v>
      </c>
      <c r="I4787" s="8" t="s">
        <v>19</v>
      </c>
      <c r="J4787" s="12">
        <v>5.0</v>
      </c>
      <c r="M4787" s="12" t="str">
        <f>IFERROR(__xludf.DUMMYFUNCTION("""COMPUTED_VALUE"""),"")</f>
        <v/>
      </c>
      <c r="N4787" s="12"/>
    </row>
    <row r="4788" ht="22.5" hidden="1" customHeight="1">
      <c r="A4788" s="7">
        <v>46150.35587300926</v>
      </c>
      <c r="B4788" s="12">
        <v>46150.0</v>
      </c>
      <c r="C4788" s="8" t="s">
        <v>47</v>
      </c>
      <c r="D4788" s="8" t="s">
        <v>412</v>
      </c>
      <c r="E4788" s="8" t="s">
        <v>16</v>
      </c>
      <c r="F4788" s="8" t="s">
        <v>16</v>
      </c>
      <c r="G4788" s="8">
        <v>8.0</v>
      </c>
      <c r="H4788" s="8" t="s">
        <v>21</v>
      </c>
      <c r="I4788" s="8" t="s">
        <v>19</v>
      </c>
      <c r="J4788" s="12">
        <v>3.0</v>
      </c>
      <c r="M4788" s="12" t="str">
        <f>IFERROR(__xludf.DUMMYFUNCTION("""COMPUTED_VALUE"""),"")</f>
        <v/>
      </c>
      <c r="N4788" s="12"/>
    </row>
    <row r="4789" ht="22.5" hidden="1" customHeight="1">
      <c r="A4789" s="7">
        <v>46150.35909680555</v>
      </c>
      <c r="B4789" s="12">
        <v>46150.0</v>
      </c>
      <c r="C4789" s="8" t="s">
        <v>47</v>
      </c>
      <c r="D4789" s="8" t="s">
        <v>173</v>
      </c>
      <c r="E4789" s="8" t="s">
        <v>16</v>
      </c>
      <c r="F4789" s="8" t="s">
        <v>16</v>
      </c>
      <c r="G4789" s="8">
        <v>8.0</v>
      </c>
      <c r="H4789" s="8" t="s">
        <v>21</v>
      </c>
      <c r="I4789" s="8" t="s">
        <v>19</v>
      </c>
      <c r="J4789" s="12">
        <v>4.0</v>
      </c>
      <c r="M4789" s="12" t="str">
        <f>IFERROR(__xludf.DUMMYFUNCTION("""COMPUTED_VALUE"""),"")</f>
        <v/>
      </c>
      <c r="N4789" s="12"/>
    </row>
    <row r="4790" ht="22.5" hidden="1" customHeight="1">
      <c r="A4790" s="7">
        <v>46150.35936657408</v>
      </c>
      <c r="B4790" s="12">
        <v>46150.0</v>
      </c>
      <c r="C4790" s="8" t="s">
        <v>47</v>
      </c>
      <c r="D4790" s="8" t="s">
        <v>407</v>
      </c>
      <c r="E4790" s="8" t="s">
        <v>16</v>
      </c>
      <c r="F4790" s="8" t="s">
        <v>16</v>
      </c>
      <c r="G4790" s="8">
        <v>7.0</v>
      </c>
      <c r="H4790" s="8" t="s">
        <v>21</v>
      </c>
      <c r="I4790" s="8" t="s">
        <v>19</v>
      </c>
      <c r="J4790" s="12">
        <v>4.0</v>
      </c>
      <c r="M4790" s="12" t="str">
        <f>IFERROR(__xludf.DUMMYFUNCTION("""COMPUTED_VALUE"""),"")</f>
        <v/>
      </c>
      <c r="N4790" s="12"/>
    </row>
    <row r="4791" ht="22.5" hidden="1" customHeight="1">
      <c r="A4791" s="7">
        <v>46150.36270032407</v>
      </c>
      <c r="B4791" s="12">
        <v>46150.0</v>
      </c>
      <c r="C4791" s="8" t="s">
        <v>47</v>
      </c>
      <c r="D4791" s="8" t="s">
        <v>368</v>
      </c>
      <c r="E4791" s="8" t="s">
        <v>16</v>
      </c>
      <c r="F4791" s="8" t="s">
        <v>16</v>
      </c>
      <c r="G4791" s="8">
        <v>8.0</v>
      </c>
      <c r="H4791" s="8" t="s">
        <v>24</v>
      </c>
      <c r="I4791" s="8" t="s">
        <v>206</v>
      </c>
      <c r="J4791" s="12">
        <v>5.0</v>
      </c>
      <c r="M4791" s="12" t="str">
        <f>IFERROR(__xludf.DUMMYFUNCTION("""COMPUTED_VALUE"""),"")</f>
        <v/>
      </c>
      <c r="N4791" s="12"/>
    </row>
    <row r="4792" ht="22.5" hidden="1" customHeight="1">
      <c r="A4792" s="7">
        <v>46150.37695921297</v>
      </c>
      <c r="B4792" s="12">
        <v>46150.0</v>
      </c>
      <c r="C4792" s="8" t="s">
        <v>47</v>
      </c>
      <c r="D4792" s="8" t="s">
        <v>104</v>
      </c>
      <c r="E4792" s="8" t="s">
        <v>16</v>
      </c>
      <c r="F4792" s="8" t="s">
        <v>16</v>
      </c>
      <c r="G4792" s="8">
        <v>8.0</v>
      </c>
      <c r="H4792" s="8" t="s">
        <v>21</v>
      </c>
      <c r="I4792" s="8" t="s">
        <v>19</v>
      </c>
      <c r="J4792" s="12">
        <v>2.0</v>
      </c>
      <c r="M4792" s="12" t="str">
        <f>IFERROR(__xludf.DUMMYFUNCTION("""COMPUTED_VALUE"""),"")</f>
        <v/>
      </c>
      <c r="N4792" s="12"/>
    </row>
    <row r="4793" ht="22.5" hidden="1" customHeight="1">
      <c r="A4793" s="7">
        <v>46150.37722894676</v>
      </c>
      <c r="B4793" s="12">
        <v>46150.0</v>
      </c>
      <c r="C4793" s="8" t="s">
        <v>47</v>
      </c>
      <c r="D4793" s="8" t="s">
        <v>334</v>
      </c>
      <c r="E4793" s="8" t="s">
        <v>16</v>
      </c>
      <c r="F4793" s="8" t="s">
        <v>16</v>
      </c>
      <c r="G4793" s="8">
        <v>8.0</v>
      </c>
      <c r="H4793" s="8" t="s">
        <v>24</v>
      </c>
      <c r="I4793" s="8" t="s">
        <v>433</v>
      </c>
      <c r="J4793" s="12">
        <v>5.0</v>
      </c>
      <c r="M4793" s="12" t="str">
        <f>IFERROR(__xludf.DUMMYFUNCTION("""COMPUTED_VALUE"""),"")</f>
        <v/>
      </c>
      <c r="N4793" s="12"/>
    </row>
    <row r="4794" ht="22.5" hidden="1" customHeight="1">
      <c r="A4794" s="7">
        <v>46150.377467592596</v>
      </c>
      <c r="B4794" s="12">
        <v>46150.0</v>
      </c>
      <c r="C4794" s="8" t="s">
        <v>47</v>
      </c>
      <c r="D4794" s="8" t="s">
        <v>248</v>
      </c>
      <c r="E4794" s="8" t="s">
        <v>16</v>
      </c>
      <c r="F4794" s="8" t="s">
        <v>16</v>
      </c>
      <c r="G4794" s="8">
        <v>8.0</v>
      </c>
      <c r="H4794" s="8" t="s">
        <v>21</v>
      </c>
      <c r="I4794" s="8" t="s">
        <v>19</v>
      </c>
      <c r="J4794" s="12">
        <v>6.0</v>
      </c>
      <c r="M4794" s="12" t="str">
        <f>IFERROR(__xludf.DUMMYFUNCTION("""COMPUTED_VALUE"""),"")</f>
        <v/>
      </c>
      <c r="N4794" s="12"/>
    </row>
    <row r="4795" ht="22.5" hidden="1" customHeight="1">
      <c r="A4795" s="7">
        <v>46150.3778725</v>
      </c>
      <c r="B4795" s="12">
        <v>46150.0</v>
      </c>
      <c r="C4795" s="8" t="s">
        <v>47</v>
      </c>
      <c r="D4795" s="8" t="s">
        <v>356</v>
      </c>
      <c r="E4795" s="8" t="s">
        <v>16</v>
      </c>
      <c r="F4795" s="8" t="s">
        <v>16</v>
      </c>
      <c r="G4795" s="8">
        <v>8.0</v>
      </c>
      <c r="H4795" s="8" t="s">
        <v>21</v>
      </c>
      <c r="I4795" s="8" t="s">
        <v>19</v>
      </c>
      <c r="J4795" s="12">
        <v>5.0</v>
      </c>
      <c r="M4795" s="12" t="str">
        <f>IFERROR(__xludf.DUMMYFUNCTION("""COMPUTED_VALUE"""),"")</f>
        <v/>
      </c>
      <c r="N4795" s="12"/>
    </row>
    <row r="4796" ht="22.5" hidden="1" customHeight="1">
      <c r="A4796" s="7">
        <v>46150.37806375</v>
      </c>
      <c r="B4796" s="12">
        <v>46150.0</v>
      </c>
      <c r="C4796" s="8" t="s">
        <v>47</v>
      </c>
      <c r="D4796" s="8" t="s">
        <v>392</v>
      </c>
      <c r="E4796" s="8" t="s">
        <v>16</v>
      </c>
      <c r="F4796" s="8" t="s">
        <v>16</v>
      </c>
      <c r="G4796" s="8">
        <v>7.0</v>
      </c>
      <c r="H4796" s="8" t="s">
        <v>21</v>
      </c>
      <c r="I4796" s="8" t="s">
        <v>19</v>
      </c>
      <c r="J4796" s="12" t="s">
        <v>397</v>
      </c>
      <c r="M4796" s="12" t="str">
        <f>IFERROR(__xludf.DUMMYFUNCTION("""COMPUTED_VALUE"""),"")</f>
        <v/>
      </c>
      <c r="N4796" s="12"/>
    </row>
    <row r="4797" ht="22.5" hidden="1" customHeight="1">
      <c r="A4797" s="7">
        <v>46150.37834164352</v>
      </c>
      <c r="B4797" s="12">
        <v>46150.0</v>
      </c>
      <c r="C4797" s="8" t="s">
        <v>47</v>
      </c>
      <c r="D4797" s="8" t="s">
        <v>413</v>
      </c>
      <c r="E4797" s="8" t="s">
        <v>16</v>
      </c>
      <c r="F4797" s="8" t="s">
        <v>16</v>
      </c>
      <c r="G4797" s="8">
        <v>6.0</v>
      </c>
      <c r="H4797" s="8" t="s">
        <v>21</v>
      </c>
      <c r="I4797" s="8" t="s">
        <v>19</v>
      </c>
      <c r="J4797" s="12">
        <v>5.0</v>
      </c>
      <c r="M4797" s="12" t="str">
        <f>IFERROR(__xludf.DUMMYFUNCTION("""COMPUTED_VALUE"""),"")</f>
        <v/>
      </c>
      <c r="N4797" s="12"/>
    </row>
    <row r="4798" ht="22.5" hidden="1" customHeight="1">
      <c r="A4798" s="7">
        <v>46150.37860625</v>
      </c>
      <c r="B4798" s="12">
        <v>46150.0</v>
      </c>
      <c r="C4798" s="8" t="s">
        <v>47</v>
      </c>
      <c r="D4798" s="8" t="s">
        <v>420</v>
      </c>
      <c r="E4798" s="8" t="s">
        <v>16</v>
      </c>
      <c r="F4798" s="8" t="s">
        <v>16</v>
      </c>
      <c r="G4798" s="8">
        <v>7.0</v>
      </c>
      <c r="H4798" s="8" t="s">
        <v>21</v>
      </c>
      <c r="I4798" s="8" t="s">
        <v>19</v>
      </c>
      <c r="J4798" s="12">
        <v>3.0</v>
      </c>
      <c r="M4798" s="12" t="str">
        <f>IFERROR(__xludf.DUMMYFUNCTION("""COMPUTED_VALUE"""),"")</f>
        <v/>
      </c>
      <c r="N4798" s="12"/>
    </row>
    <row r="4799" ht="22.5" hidden="1" customHeight="1">
      <c r="A4799" s="7">
        <v>46150.37885628472</v>
      </c>
      <c r="B4799" s="12">
        <v>46150.0</v>
      </c>
      <c r="C4799" s="8" t="s">
        <v>47</v>
      </c>
      <c r="D4799" s="8" t="s">
        <v>422</v>
      </c>
      <c r="E4799" s="8" t="s">
        <v>16</v>
      </c>
      <c r="F4799" s="8" t="s">
        <v>16</v>
      </c>
      <c r="G4799" s="8">
        <v>6.0</v>
      </c>
      <c r="H4799" s="8" t="s">
        <v>21</v>
      </c>
      <c r="I4799" s="8" t="s">
        <v>19</v>
      </c>
      <c r="J4799" s="12">
        <v>4.0</v>
      </c>
      <c r="M4799" s="12" t="str">
        <f>IFERROR(__xludf.DUMMYFUNCTION("""COMPUTED_VALUE"""),"")</f>
        <v/>
      </c>
      <c r="N4799" s="12"/>
    </row>
    <row r="4800" ht="22.5" hidden="1" customHeight="1">
      <c r="A4800" s="7">
        <v>46150.381460856486</v>
      </c>
      <c r="B4800" s="12">
        <v>46150.0</v>
      </c>
      <c r="C4800" s="8" t="s">
        <v>47</v>
      </c>
      <c r="D4800" s="8" t="s">
        <v>209</v>
      </c>
      <c r="E4800" s="8" t="s">
        <v>16</v>
      </c>
      <c r="F4800" s="8" t="s">
        <v>16</v>
      </c>
      <c r="G4800" s="8">
        <v>8.0</v>
      </c>
      <c r="H4800" s="8" t="s">
        <v>21</v>
      </c>
      <c r="I4800" s="8" t="s">
        <v>19</v>
      </c>
      <c r="J4800" s="12">
        <v>5.0</v>
      </c>
      <c r="M4800" s="12" t="str">
        <f>IFERROR(__xludf.DUMMYFUNCTION("""COMPUTED_VALUE"""),"")</f>
        <v/>
      </c>
      <c r="N4800" s="12"/>
    </row>
    <row r="4801" ht="22.5" hidden="1" customHeight="1">
      <c r="A4801" s="7">
        <v>46150.38568761574</v>
      </c>
      <c r="B4801" s="12">
        <v>46150.0</v>
      </c>
      <c r="C4801" s="8" t="s">
        <v>47</v>
      </c>
      <c r="D4801" s="8" t="s">
        <v>258</v>
      </c>
      <c r="E4801" s="8" t="s">
        <v>43</v>
      </c>
      <c r="F4801" s="8" t="s">
        <v>34</v>
      </c>
      <c r="G4801" s="8" t="s">
        <v>408</v>
      </c>
      <c r="H4801" s="8" t="s">
        <v>21</v>
      </c>
      <c r="I4801" s="8" t="s">
        <v>19</v>
      </c>
      <c r="J4801" s="12" t="s">
        <v>397</v>
      </c>
      <c r="M4801" s="12" t="str">
        <f>IFERROR(__xludf.DUMMYFUNCTION("""COMPUTED_VALUE"""),"")</f>
        <v/>
      </c>
      <c r="N4801" s="12"/>
    </row>
    <row r="4802" ht="22.5" hidden="1" customHeight="1">
      <c r="A4802" s="7">
        <v>46150.38606662037</v>
      </c>
      <c r="B4802" s="12">
        <v>46150.0</v>
      </c>
      <c r="C4802" s="8" t="s">
        <v>47</v>
      </c>
      <c r="D4802" s="8" t="s">
        <v>170</v>
      </c>
      <c r="E4802" s="8" t="s">
        <v>16</v>
      </c>
      <c r="F4802" s="8" t="s">
        <v>16</v>
      </c>
      <c r="G4802" s="8">
        <v>7.0</v>
      </c>
      <c r="H4802" s="8" t="s">
        <v>24</v>
      </c>
      <c r="I4802" s="8" t="s">
        <v>398</v>
      </c>
      <c r="J4802" s="12" t="s">
        <v>397</v>
      </c>
      <c r="M4802" s="12" t="str">
        <f>IFERROR(__xludf.DUMMYFUNCTION("""COMPUTED_VALUE"""),"")</f>
        <v/>
      </c>
      <c r="N4802" s="12"/>
    </row>
    <row r="4803" ht="22.5" hidden="1" customHeight="1">
      <c r="A4803" s="7">
        <v>46150.394602326385</v>
      </c>
      <c r="B4803" s="12">
        <v>46150.0</v>
      </c>
      <c r="C4803" s="8" t="s">
        <v>47</v>
      </c>
      <c r="D4803" s="8" t="s">
        <v>395</v>
      </c>
      <c r="E4803" s="8" t="s">
        <v>16</v>
      </c>
      <c r="F4803" s="8" t="s">
        <v>16</v>
      </c>
      <c r="G4803" s="8">
        <v>8.0</v>
      </c>
      <c r="H4803" s="8" t="s">
        <v>21</v>
      </c>
      <c r="I4803" s="8" t="s">
        <v>19</v>
      </c>
      <c r="J4803" s="12">
        <v>3.0</v>
      </c>
      <c r="M4803" s="12" t="str">
        <f>IFERROR(__xludf.DUMMYFUNCTION("""COMPUTED_VALUE"""),"")</f>
        <v/>
      </c>
      <c r="N4803" s="12"/>
    </row>
    <row r="4804" ht="22.5" hidden="1" customHeight="1">
      <c r="A4804" s="7">
        <v>46150.394998240736</v>
      </c>
      <c r="B4804" s="12">
        <v>46150.0</v>
      </c>
      <c r="C4804" s="8" t="s">
        <v>47</v>
      </c>
      <c r="D4804" s="8" t="s">
        <v>176</v>
      </c>
      <c r="E4804" s="8" t="s">
        <v>16</v>
      </c>
      <c r="F4804" s="8" t="s">
        <v>16</v>
      </c>
      <c r="G4804" s="8">
        <v>8.0</v>
      </c>
      <c r="H4804" s="8" t="s">
        <v>24</v>
      </c>
      <c r="I4804" s="8" t="s">
        <v>206</v>
      </c>
      <c r="J4804" s="12">
        <v>3.0</v>
      </c>
      <c r="M4804" s="12" t="str">
        <f>IFERROR(__xludf.DUMMYFUNCTION("""COMPUTED_VALUE"""),"")</f>
        <v/>
      </c>
      <c r="N4804" s="12"/>
    </row>
    <row r="4805" ht="22.5" hidden="1" customHeight="1">
      <c r="A4805" s="7">
        <v>46150.39913788195</v>
      </c>
      <c r="B4805" s="12">
        <v>46150.0</v>
      </c>
      <c r="C4805" s="8" t="s">
        <v>47</v>
      </c>
      <c r="D4805" s="8" t="s">
        <v>246</v>
      </c>
      <c r="E4805" s="8" t="s">
        <v>16</v>
      </c>
      <c r="F4805" s="8" t="s">
        <v>16</v>
      </c>
      <c r="G4805" s="8">
        <v>8.0</v>
      </c>
      <c r="H4805" s="8" t="s">
        <v>21</v>
      </c>
      <c r="I4805" s="8" t="s">
        <v>19</v>
      </c>
      <c r="J4805" s="12" t="s">
        <v>397</v>
      </c>
      <c r="M4805" s="12" t="str">
        <f>IFERROR(__xludf.DUMMYFUNCTION("""COMPUTED_VALUE"""),"")</f>
        <v/>
      </c>
      <c r="N4805" s="12"/>
    </row>
    <row r="4806" ht="22.5" customHeight="1">
      <c r="A4806" s="7">
        <v>46151.3690755787</v>
      </c>
      <c r="B4806" s="12">
        <v>46151.0</v>
      </c>
      <c r="C4806" s="8" t="s">
        <v>52</v>
      </c>
      <c r="D4806" s="8" t="s">
        <v>394</v>
      </c>
      <c r="E4806" s="8" t="s">
        <v>16</v>
      </c>
      <c r="F4806" s="8" t="s">
        <v>16</v>
      </c>
      <c r="G4806" s="8">
        <v>7.0</v>
      </c>
      <c r="H4806" s="8" t="s">
        <v>21</v>
      </c>
      <c r="I4806" s="8" t="s">
        <v>19</v>
      </c>
      <c r="J4806" s="12" t="s">
        <v>397</v>
      </c>
      <c r="M4806" s="12" t="str">
        <f>IFERROR(__xludf.DUMMYFUNCTION("""COMPUTED_VALUE"""),"")</f>
        <v/>
      </c>
      <c r="N4806" s="12"/>
    </row>
    <row r="4807" ht="22.5" customHeight="1">
      <c r="A4807" s="7">
        <v>46151.36950998842</v>
      </c>
      <c r="B4807" s="12">
        <v>46151.0</v>
      </c>
      <c r="C4807" s="8" t="s">
        <v>52</v>
      </c>
      <c r="D4807" s="8" t="s">
        <v>411</v>
      </c>
      <c r="E4807" s="8" t="s">
        <v>16</v>
      </c>
      <c r="F4807" s="8" t="s">
        <v>16</v>
      </c>
      <c r="G4807" s="8">
        <v>8.0</v>
      </c>
      <c r="H4807" s="8" t="s">
        <v>21</v>
      </c>
      <c r="I4807" s="8" t="s">
        <v>19</v>
      </c>
      <c r="J4807" s="12">
        <v>2.0</v>
      </c>
      <c r="M4807" s="12" t="str">
        <f>IFERROR(__xludf.DUMMYFUNCTION("""COMPUTED_VALUE"""),"")</f>
        <v/>
      </c>
      <c r="N4807" s="12"/>
    </row>
    <row r="4808" ht="22.5" customHeight="1">
      <c r="A4808" s="7">
        <v>46151.369936250005</v>
      </c>
      <c r="B4808" s="12">
        <v>46151.0</v>
      </c>
      <c r="C4808" s="8" t="s">
        <v>52</v>
      </c>
      <c r="D4808" s="8" t="s">
        <v>248</v>
      </c>
      <c r="E4808" s="8" t="s">
        <v>16</v>
      </c>
      <c r="F4808" s="8" t="s">
        <v>16</v>
      </c>
      <c r="G4808" s="8">
        <v>7.0</v>
      </c>
      <c r="H4808" s="8" t="s">
        <v>24</v>
      </c>
      <c r="I4808" s="8" t="s">
        <v>206</v>
      </c>
      <c r="J4808" s="12">
        <v>6.0</v>
      </c>
      <c r="M4808" s="12" t="str">
        <f>IFERROR(__xludf.DUMMYFUNCTION("""COMPUTED_VALUE"""),"")</f>
        <v/>
      </c>
      <c r="N4808" s="12"/>
    </row>
    <row r="4809" ht="22.5" customHeight="1">
      <c r="A4809" s="7">
        <v>46151.37061337963</v>
      </c>
      <c r="B4809" s="12">
        <v>46151.0</v>
      </c>
      <c r="C4809" s="8" t="s">
        <v>52</v>
      </c>
      <c r="D4809" s="8" t="s">
        <v>176</v>
      </c>
      <c r="E4809" s="8" t="s">
        <v>16</v>
      </c>
      <c r="F4809" s="8" t="s">
        <v>16</v>
      </c>
      <c r="G4809" s="8">
        <v>8.0</v>
      </c>
      <c r="H4809" s="8" t="s">
        <v>16</v>
      </c>
      <c r="I4809" s="8" t="s">
        <v>289</v>
      </c>
      <c r="J4809" s="12" t="s">
        <v>397</v>
      </c>
      <c r="M4809" s="12" t="str">
        <f>IFERROR(__xludf.DUMMYFUNCTION("""COMPUTED_VALUE"""),"")</f>
        <v/>
      </c>
      <c r="N4809" s="12"/>
    </row>
    <row r="4810" ht="22.5" customHeight="1">
      <c r="A4810" s="7">
        <v>46151.37083298611</v>
      </c>
      <c r="B4810" s="12">
        <v>46151.0</v>
      </c>
      <c r="C4810" s="8" t="s">
        <v>52</v>
      </c>
      <c r="D4810" s="8" t="s">
        <v>412</v>
      </c>
      <c r="E4810" s="8" t="s">
        <v>16</v>
      </c>
      <c r="F4810" s="8" t="s">
        <v>16</v>
      </c>
      <c r="G4810" s="8">
        <v>8.0</v>
      </c>
      <c r="H4810" s="8" t="s">
        <v>21</v>
      </c>
      <c r="I4810" s="8" t="s">
        <v>19</v>
      </c>
      <c r="J4810" s="12">
        <v>4.0</v>
      </c>
      <c r="M4810" s="12" t="str">
        <f>IFERROR(__xludf.DUMMYFUNCTION("""COMPUTED_VALUE"""),"")</f>
        <v/>
      </c>
      <c r="N4810" s="12"/>
    </row>
    <row r="4811" ht="22.5" customHeight="1">
      <c r="A4811" s="7">
        <v>46151.37110175926</v>
      </c>
      <c r="B4811" s="12">
        <v>46151.0</v>
      </c>
      <c r="C4811" s="8" t="s">
        <v>52</v>
      </c>
      <c r="D4811" s="8" t="s">
        <v>279</v>
      </c>
      <c r="E4811" s="8" t="s">
        <v>16</v>
      </c>
      <c r="F4811" s="8" t="s">
        <v>16</v>
      </c>
      <c r="G4811" s="8">
        <v>8.0</v>
      </c>
      <c r="H4811" s="8" t="s">
        <v>21</v>
      </c>
      <c r="I4811" s="8" t="s">
        <v>19</v>
      </c>
      <c r="J4811" s="12">
        <v>3.0</v>
      </c>
      <c r="M4811" s="12" t="str">
        <f>IFERROR(__xludf.DUMMYFUNCTION("""COMPUTED_VALUE"""),"")</f>
        <v/>
      </c>
      <c r="N4811" s="12"/>
    </row>
    <row r="4812" ht="22.5" customHeight="1">
      <c r="A4812" s="7">
        <v>46151.37148271991</v>
      </c>
      <c r="B4812" s="12">
        <v>46151.0</v>
      </c>
      <c r="C4812" s="8" t="s">
        <v>52</v>
      </c>
      <c r="D4812" s="8" t="s">
        <v>334</v>
      </c>
      <c r="E4812" s="8" t="s">
        <v>16</v>
      </c>
      <c r="F4812" s="8" t="s">
        <v>16</v>
      </c>
      <c r="G4812" s="8">
        <v>7.0</v>
      </c>
      <c r="H4812" s="8" t="s">
        <v>24</v>
      </c>
      <c r="I4812" s="8" t="s">
        <v>433</v>
      </c>
      <c r="J4812" s="12">
        <v>4.0</v>
      </c>
      <c r="M4812" s="12" t="str">
        <f>IFERROR(__xludf.DUMMYFUNCTION("""COMPUTED_VALUE"""),"")</f>
        <v/>
      </c>
      <c r="N4812" s="12"/>
    </row>
    <row r="4813" ht="22.5" customHeight="1">
      <c r="A4813" s="7">
        <v>46151.372026805555</v>
      </c>
      <c r="B4813" s="12">
        <v>46151.0</v>
      </c>
      <c r="C4813" s="8" t="s">
        <v>52</v>
      </c>
      <c r="D4813" s="8" t="s">
        <v>173</v>
      </c>
      <c r="E4813" s="8" t="s">
        <v>16</v>
      </c>
      <c r="F4813" s="8" t="s">
        <v>16</v>
      </c>
      <c r="G4813" s="8">
        <v>8.0</v>
      </c>
      <c r="H4813" s="8" t="s">
        <v>21</v>
      </c>
      <c r="I4813" s="8" t="s">
        <v>19</v>
      </c>
      <c r="J4813" s="12">
        <v>3.0</v>
      </c>
      <c r="M4813" s="12" t="str">
        <f>IFERROR(__xludf.DUMMYFUNCTION("""COMPUTED_VALUE"""),"")</f>
        <v/>
      </c>
      <c r="N4813" s="12"/>
    </row>
    <row r="4814" ht="22.5" customHeight="1">
      <c r="A4814" s="7">
        <v>46151.37249792824</v>
      </c>
      <c r="B4814" s="12">
        <v>46151.0</v>
      </c>
      <c r="C4814" s="8" t="s">
        <v>52</v>
      </c>
      <c r="D4814" s="8" t="s">
        <v>257</v>
      </c>
      <c r="E4814" s="8" t="s">
        <v>16</v>
      </c>
      <c r="F4814" s="8" t="s">
        <v>16</v>
      </c>
      <c r="G4814" s="8">
        <v>8.0</v>
      </c>
      <c r="H4814" s="8" t="s">
        <v>21</v>
      </c>
      <c r="I4814" s="8" t="s">
        <v>19</v>
      </c>
      <c r="J4814" s="12">
        <v>5.0</v>
      </c>
      <c r="M4814" s="12" t="str">
        <f>IFERROR(__xludf.DUMMYFUNCTION("""COMPUTED_VALUE"""),"")</f>
        <v/>
      </c>
      <c r="N4814" s="12"/>
    </row>
    <row r="4815" ht="22.5" customHeight="1">
      <c r="A4815" s="7">
        <v>46151.37287421296</v>
      </c>
      <c r="B4815" s="12">
        <v>46151.0</v>
      </c>
      <c r="C4815" s="8" t="s">
        <v>52</v>
      </c>
      <c r="D4815" s="8" t="s">
        <v>368</v>
      </c>
      <c r="E4815" s="8" t="s">
        <v>16</v>
      </c>
      <c r="F4815" s="8" t="s">
        <v>16</v>
      </c>
      <c r="G4815" s="8">
        <v>8.0</v>
      </c>
      <c r="H4815" s="8" t="s">
        <v>24</v>
      </c>
      <c r="I4815" s="8" t="s">
        <v>217</v>
      </c>
      <c r="J4815" s="12" t="s">
        <v>397</v>
      </c>
      <c r="M4815" s="12" t="str">
        <f>IFERROR(__xludf.DUMMYFUNCTION("""COMPUTED_VALUE"""),"")</f>
        <v/>
      </c>
      <c r="N4815" s="12"/>
    </row>
    <row r="4816" ht="22.5" customHeight="1">
      <c r="A4816" s="7">
        <v>46151.37313743056</v>
      </c>
      <c r="B4816" s="12">
        <v>46151.0</v>
      </c>
      <c r="C4816" s="8" t="s">
        <v>52</v>
      </c>
      <c r="D4816" s="8" t="s">
        <v>422</v>
      </c>
      <c r="E4816" s="8" t="s">
        <v>16</v>
      </c>
      <c r="F4816" s="8" t="s">
        <v>16</v>
      </c>
      <c r="G4816" s="8">
        <v>6.0</v>
      </c>
      <c r="H4816" s="8" t="s">
        <v>21</v>
      </c>
      <c r="I4816" s="8" t="s">
        <v>19</v>
      </c>
      <c r="J4816" s="12">
        <v>5.0</v>
      </c>
      <c r="M4816" s="12" t="str">
        <f>IFERROR(__xludf.DUMMYFUNCTION("""COMPUTED_VALUE"""),"")</f>
        <v/>
      </c>
      <c r="N4816" s="12"/>
    </row>
    <row r="4817" ht="22.5" customHeight="1">
      <c r="A4817" s="7">
        <v>46151.373339004625</v>
      </c>
      <c r="B4817" s="12">
        <v>46151.0</v>
      </c>
      <c r="C4817" s="8" t="s">
        <v>52</v>
      </c>
      <c r="D4817" s="8" t="s">
        <v>104</v>
      </c>
      <c r="E4817" s="8" t="s">
        <v>16</v>
      </c>
      <c r="F4817" s="8" t="s">
        <v>16</v>
      </c>
      <c r="G4817" s="8">
        <v>8.0</v>
      </c>
      <c r="H4817" s="8" t="s">
        <v>21</v>
      </c>
      <c r="I4817" s="8" t="s">
        <v>19</v>
      </c>
      <c r="J4817" s="12">
        <v>2.0</v>
      </c>
      <c r="M4817" s="12" t="str">
        <f>IFERROR(__xludf.DUMMYFUNCTION("""COMPUTED_VALUE"""),"")</f>
        <v/>
      </c>
      <c r="N4817" s="12"/>
    </row>
    <row r="4818" ht="22.5" customHeight="1">
      <c r="A4818" s="7">
        <v>46151.373712430555</v>
      </c>
      <c r="B4818" s="12">
        <v>46151.0</v>
      </c>
      <c r="C4818" s="8" t="s">
        <v>52</v>
      </c>
      <c r="D4818" s="8" t="s">
        <v>407</v>
      </c>
      <c r="E4818" s="8" t="s">
        <v>16</v>
      </c>
      <c r="F4818" s="8" t="s">
        <v>16</v>
      </c>
      <c r="G4818" s="8">
        <v>8.0</v>
      </c>
      <c r="H4818" s="8" t="s">
        <v>24</v>
      </c>
      <c r="I4818" s="8" t="s">
        <v>49</v>
      </c>
      <c r="J4818" s="12">
        <v>4.0</v>
      </c>
      <c r="M4818" s="12" t="str">
        <f>IFERROR(__xludf.DUMMYFUNCTION("""COMPUTED_VALUE"""),"")</f>
        <v/>
      </c>
      <c r="N4818" s="12"/>
    </row>
    <row r="4819" ht="22.5" customHeight="1">
      <c r="A4819" s="7">
        <v>46151.37412015046</v>
      </c>
      <c r="B4819" s="12">
        <v>46151.0</v>
      </c>
      <c r="C4819" s="8" t="s">
        <v>52</v>
      </c>
      <c r="D4819" s="8" t="s">
        <v>248</v>
      </c>
      <c r="E4819" s="8" t="s">
        <v>16</v>
      </c>
      <c r="F4819" s="8" t="s">
        <v>16</v>
      </c>
      <c r="G4819" s="8">
        <v>8.0</v>
      </c>
      <c r="H4819" s="8" t="s">
        <v>24</v>
      </c>
      <c r="I4819" s="8" t="s">
        <v>206</v>
      </c>
      <c r="J4819" s="12">
        <v>6.0</v>
      </c>
      <c r="M4819" s="12" t="str">
        <f>IFERROR(__xludf.DUMMYFUNCTION("""COMPUTED_VALUE"""),"")</f>
        <v/>
      </c>
      <c r="N4819" s="12"/>
    </row>
    <row r="4820" ht="22.5" customHeight="1">
      <c r="A4820" s="7">
        <v>46151.37465591435</v>
      </c>
      <c r="B4820" s="12">
        <v>46151.0</v>
      </c>
      <c r="C4820" s="8" t="s">
        <v>52</v>
      </c>
      <c r="D4820" s="8" t="s">
        <v>170</v>
      </c>
      <c r="E4820" s="8" t="s">
        <v>16</v>
      </c>
      <c r="F4820" s="8" t="s">
        <v>16</v>
      </c>
      <c r="G4820" s="8">
        <v>7.0</v>
      </c>
      <c r="H4820" s="8" t="s">
        <v>24</v>
      </c>
      <c r="I4820" s="8" t="s">
        <v>398</v>
      </c>
      <c r="J4820" s="12" t="s">
        <v>397</v>
      </c>
      <c r="M4820" s="12" t="str">
        <f>IFERROR(__xludf.DUMMYFUNCTION("""COMPUTED_VALUE"""),"")</f>
        <v/>
      </c>
      <c r="N4820" s="12"/>
    </row>
    <row r="4821" ht="22.5" customHeight="1">
      <c r="A4821" s="7">
        <v>46151.37495943287</v>
      </c>
      <c r="B4821" s="12">
        <v>46151.0</v>
      </c>
      <c r="C4821" s="8" t="s">
        <v>52</v>
      </c>
      <c r="D4821" s="8" t="s">
        <v>349</v>
      </c>
      <c r="E4821" s="8" t="s">
        <v>16</v>
      </c>
      <c r="F4821" s="8" t="s">
        <v>16</v>
      </c>
      <c r="G4821" s="8">
        <v>8.0</v>
      </c>
      <c r="H4821" s="8" t="s">
        <v>21</v>
      </c>
      <c r="I4821" s="8" t="s">
        <v>19</v>
      </c>
      <c r="J4821" s="12">
        <v>4.0</v>
      </c>
      <c r="M4821" s="12" t="str">
        <f>IFERROR(__xludf.DUMMYFUNCTION("""COMPUTED_VALUE"""),"")</f>
        <v/>
      </c>
      <c r="N4821" s="12"/>
    </row>
    <row r="4822" ht="22.5" customHeight="1">
      <c r="A4822" s="7">
        <v>46151.38251924768</v>
      </c>
      <c r="B4822" s="12">
        <v>46151.0</v>
      </c>
      <c r="C4822" s="8" t="s">
        <v>52</v>
      </c>
      <c r="D4822" s="8" t="s">
        <v>356</v>
      </c>
      <c r="E4822" s="8" t="s">
        <v>16</v>
      </c>
      <c r="F4822" s="8" t="s">
        <v>16</v>
      </c>
      <c r="G4822" s="8">
        <v>8.0</v>
      </c>
      <c r="H4822" s="8" t="s">
        <v>24</v>
      </c>
      <c r="I4822" s="8" t="s">
        <v>380</v>
      </c>
      <c r="J4822" s="12">
        <v>4.0</v>
      </c>
      <c r="M4822" s="12" t="str">
        <f>IFERROR(__xludf.DUMMYFUNCTION("""COMPUTED_VALUE"""),"")</f>
        <v/>
      </c>
      <c r="N4822" s="12"/>
    </row>
    <row r="4823" ht="22.5" customHeight="1">
      <c r="A4823" s="7">
        <v>46151.3947552662</v>
      </c>
      <c r="B4823" s="12">
        <v>46151.0</v>
      </c>
      <c r="C4823" s="8" t="s">
        <v>52</v>
      </c>
      <c r="D4823" s="8" t="s">
        <v>246</v>
      </c>
      <c r="E4823" s="8" t="s">
        <v>16</v>
      </c>
      <c r="F4823" s="8" t="s">
        <v>16</v>
      </c>
      <c r="G4823" s="8">
        <v>8.0</v>
      </c>
      <c r="H4823" s="8" t="s">
        <v>24</v>
      </c>
      <c r="I4823" s="8" t="s">
        <v>206</v>
      </c>
      <c r="J4823" s="12" t="s">
        <v>397</v>
      </c>
      <c r="M4823" s="12" t="str">
        <f>IFERROR(__xludf.DUMMYFUNCTION("""COMPUTED_VALUE"""),"")</f>
        <v/>
      </c>
      <c r="N4823" s="12"/>
    </row>
    <row r="4824" ht="22.5" customHeight="1">
      <c r="A4824" s="7">
        <v>46151.42738247685</v>
      </c>
      <c r="B4824" s="12">
        <v>46151.0</v>
      </c>
      <c r="C4824" s="8" t="s">
        <v>52</v>
      </c>
      <c r="D4824" s="8" t="s">
        <v>395</v>
      </c>
      <c r="E4824" s="8" t="s">
        <v>16</v>
      </c>
      <c r="F4824" s="8" t="s">
        <v>16</v>
      </c>
      <c r="G4824" s="8">
        <v>8.0</v>
      </c>
      <c r="H4824" s="8" t="s">
        <v>21</v>
      </c>
      <c r="I4824" s="8" t="s">
        <v>19</v>
      </c>
      <c r="J4824" s="12">
        <v>4.0</v>
      </c>
      <c r="M4824" s="12" t="str">
        <f>IFERROR(__xludf.DUMMYFUNCTION("""COMPUTED_VALUE"""),"")</f>
        <v/>
      </c>
      <c r="N4824" s="12"/>
    </row>
    <row r="4825" ht="22.5" customHeight="1">
      <c r="A4825" s="7">
        <v>46151.427915775464</v>
      </c>
      <c r="B4825" s="12">
        <v>46151.0</v>
      </c>
      <c r="C4825" s="8" t="s">
        <v>52</v>
      </c>
      <c r="D4825" s="8" t="s">
        <v>256</v>
      </c>
      <c r="E4825" s="8" t="s">
        <v>16</v>
      </c>
      <c r="F4825" s="8" t="s">
        <v>16</v>
      </c>
      <c r="G4825" s="8">
        <v>8.0</v>
      </c>
      <c r="H4825" s="8" t="s">
        <v>21</v>
      </c>
      <c r="I4825" s="8" t="s">
        <v>19</v>
      </c>
      <c r="J4825" s="12" t="s">
        <v>397</v>
      </c>
      <c r="M4825" s="12" t="str">
        <f>IFERROR(__xludf.DUMMYFUNCTION("""COMPUTED_VALUE"""),"")</f>
        <v/>
      </c>
      <c r="N4825" s="12"/>
    </row>
    <row r="4826" ht="22.5" customHeight="1">
      <c r="A4826" s="7">
        <v>46151.42825521991</v>
      </c>
      <c r="B4826" s="12">
        <v>46151.0</v>
      </c>
      <c r="C4826" s="8" t="s">
        <v>52</v>
      </c>
      <c r="D4826" s="8" t="s">
        <v>413</v>
      </c>
      <c r="E4826" s="8" t="s">
        <v>16</v>
      </c>
      <c r="F4826" s="8" t="s">
        <v>16</v>
      </c>
      <c r="G4826" s="8">
        <v>7.0</v>
      </c>
      <c r="H4826" s="8" t="s">
        <v>21</v>
      </c>
      <c r="I4826" s="8" t="s">
        <v>19</v>
      </c>
      <c r="J4826" s="12">
        <v>3.0</v>
      </c>
      <c r="M4826" s="12" t="str">
        <f>IFERROR(__xludf.DUMMYFUNCTION("""COMPUTED_VALUE"""),"")</f>
        <v/>
      </c>
      <c r="N4826" s="12"/>
    </row>
    <row r="4827" ht="22.5" customHeight="1">
      <c r="A4827" s="7">
        <v>46151.42847966435</v>
      </c>
      <c r="B4827" s="12">
        <v>46151.0</v>
      </c>
      <c r="C4827" s="8" t="s">
        <v>52</v>
      </c>
      <c r="D4827" s="8" t="s">
        <v>420</v>
      </c>
      <c r="E4827" s="8" t="s">
        <v>16</v>
      </c>
      <c r="F4827" s="8" t="s">
        <v>16</v>
      </c>
      <c r="G4827" s="8">
        <v>7.0</v>
      </c>
      <c r="H4827" s="8" t="s">
        <v>21</v>
      </c>
      <c r="I4827" s="8" t="s">
        <v>19</v>
      </c>
      <c r="J4827" s="12" t="s">
        <v>397</v>
      </c>
      <c r="M4827" s="12" t="str">
        <f>IFERROR(__xludf.DUMMYFUNCTION("""COMPUTED_VALUE"""),"")</f>
        <v/>
      </c>
      <c r="N4827" s="12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  <c r="M12870" s="14" t="str">
        <f>IFERROR(__xludf.DUMMYFUNCTION("""COMPUTED_VALUE"""),"")</f>
        <v/>
      </c>
      <c r="N12870" s="14"/>
    </row>
    <row r="12871">
      <c r="B12871" s="14" t="s">
        <v>438</v>
      </c>
      <c r="J12871" s="15" t="s">
        <v>438</v>
      </c>
      <c r="M12871" s="14" t="str">
        <f>IFERROR(__xludf.DUMMYFUNCTION("""COMPUTED_VALUE"""),"")</f>
        <v/>
      </c>
      <c r="N12871" s="14"/>
    </row>
    <row r="12872">
      <c r="B12872" s="14" t="s">
        <v>438</v>
      </c>
      <c r="J12872" s="15" t="s">
        <v>438</v>
      </c>
      <c r="M12872" s="14" t="str">
        <f>IFERROR(__xludf.DUMMYFUNCTION("""COMPUTED_VALUE"""),"")</f>
        <v/>
      </c>
      <c r="N12872" s="14"/>
    </row>
    <row r="12873">
      <c r="B12873" s="14" t="s">
        <v>438</v>
      </c>
      <c r="J12873" s="15" t="s">
        <v>438</v>
      </c>
      <c r="M12873" s="14" t="str">
        <f>IFERROR(__xludf.DUMMYFUNCTION("""COMPUTED_VALUE"""),"")</f>
        <v/>
      </c>
      <c r="N12873" s="14"/>
    </row>
    <row r="12874">
      <c r="B12874" s="14" t="s">
        <v>438</v>
      </c>
      <c r="J12874" s="15" t="s">
        <v>438</v>
      </c>
      <c r="M12874" s="14" t="str">
        <f>IFERROR(__xludf.DUMMYFUNCTION("""COMPUTED_VALUE"""),"")</f>
        <v/>
      </c>
      <c r="N12874" s="14"/>
    </row>
    <row r="12875">
      <c r="B12875" s="14" t="s">
        <v>438</v>
      </c>
      <c r="J12875" s="15" t="s">
        <v>438</v>
      </c>
      <c r="M12875" s="14" t="str">
        <f>IFERROR(__xludf.DUMMYFUNCTION("""COMPUTED_VALUE"""),"")</f>
        <v/>
      </c>
      <c r="N12875" s="14"/>
    </row>
    <row r="12876">
      <c r="B12876" s="14" t="s">
        <v>438</v>
      </c>
      <c r="J12876" s="15" t="s">
        <v>438</v>
      </c>
      <c r="M12876" s="14" t="str">
        <f>IFERROR(__xludf.DUMMYFUNCTION("""COMPUTED_VALUE"""),"")</f>
        <v/>
      </c>
      <c r="N12876" s="14"/>
    </row>
    <row r="12877">
      <c r="B12877" s="14" t="s">
        <v>438</v>
      </c>
      <c r="J12877" s="15" t="s">
        <v>438</v>
      </c>
      <c r="M12877" s="14" t="str">
        <f>IFERROR(__xludf.DUMMYFUNCTION("""COMPUTED_VALUE"""),"")</f>
        <v/>
      </c>
      <c r="N12877" s="14"/>
    </row>
    <row r="12878">
      <c r="B12878" s="14" t="s">
        <v>438</v>
      </c>
      <c r="J12878" s="15" t="s">
        <v>438</v>
      </c>
      <c r="M12878" s="14" t="str">
        <f>IFERROR(__xludf.DUMMYFUNCTION("""COMPUTED_VALUE"""),"")</f>
        <v/>
      </c>
      <c r="N12878" s="14"/>
    </row>
    <row r="12879">
      <c r="B12879" s="14" t="s">
        <v>438</v>
      </c>
      <c r="J12879" s="15" t="s">
        <v>438</v>
      </c>
      <c r="M12879" s="14" t="str">
        <f>IFERROR(__xludf.DUMMYFUNCTION("""COMPUTED_VALUE"""),"")</f>
        <v/>
      </c>
      <c r="N12879" s="14"/>
    </row>
    <row r="12880">
      <c r="B12880" s="14" t="s">
        <v>438</v>
      </c>
      <c r="J12880" s="15" t="s">
        <v>438</v>
      </c>
      <c r="M12880" s="14" t="str">
        <f>IFERROR(__xludf.DUMMYFUNCTION("""COMPUTED_VALUE"""),"")</f>
        <v/>
      </c>
      <c r="N12880" s="14"/>
    </row>
    <row r="12881">
      <c r="B12881" s="14" t="s">
        <v>438</v>
      </c>
      <c r="J12881" s="15" t="s">
        <v>438</v>
      </c>
      <c r="M12881" s="14" t="str">
        <f>IFERROR(__xludf.DUMMYFUNCTION("""COMPUTED_VALUE"""),"")</f>
        <v/>
      </c>
      <c r="N12881" s="14"/>
    </row>
    <row r="12882">
      <c r="B12882" s="14" t="s">
        <v>438</v>
      </c>
      <c r="J12882" s="15" t="s">
        <v>438</v>
      </c>
      <c r="M12882" s="14" t="str">
        <f>IFERROR(__xludf.DUMMYFUNCTION("""COMPUTED_VALUE"""),"")</f>
        <v/>
      </c>
      <c r="N12882" s="14"/>
    </row>
    <row r="12883">
      <c r="B12883" s="14" t="s">
        <v>438</v>
      </c>
      <c r="J12883" s="15" t="s">
        <v>438</v>
      </c>
      <c r="M12883" s="14" t="str">
        <f>IFERROR(__xludf.DUMMYFUNCTION("""COMPUTED_VALUE"""),"")</f>
        <v/>
      </c>
      <c r="N12883" s="14"/>
    </row>
    <row r="12884">
      <c r="B12884" s="14" t="s">
        <v>438</v>
      </c>
      <c r="J12884" s="15" t="s">
        <v>438</v>
      </c>
      <c r="M12884" s="14" t="str">
        <f>IFERROR(__xludf.DUMMYFUNCTION("""COMPUTED_VALUE"""),"")</f>
        <v/>
      </c>
      <c r="N12884" s="14"/>
    </row>
    <row r="12885">
      <c r="B12885" s="14" t="s">
        <v>438</v>
      </c>
      <c r="J12885" s="15" t="s">
        <v>438</v>
      </c>
      <c r="M12885" s="14" t="str">
        <f>IFERROR(__xludf.DUMMYFUNCTION("""COMPUTED_VALUE"""),"")</f>
        <v/>
      </c>
      <c r="N12885" s="14"/>
    </row>
    <row r="12886">
      <c r="B12886" s="14" t="s">
        <v>438</v>
      </c>
      <c r="J12886" s="15" t="s">
        <v>438</v>
      </c>
      <c r="M12886" s="14" t="str">
        <f>IFERROR(__xludf.DUMMYFUNCTION("""COMPUTED_VALUE"""),"")</f>
        <v/>
      </c>
      <c r="N12886" s="14"/>
    </row>
    <row r="12887">
      <c r="B12887" s="14" t="s">
        <v>438</v>
      </c>
      <c r="J12887" s="15" t="s">
        <v>438</v>
      </c>
      <c r="M12887" s="14" t="str">
        <f>IFERROR(__xludf.DUMMYFUNCTION("""COMPUTED_VALUE"""),"")</f>
        <v/>
      </c>
      <c r="N12887" s="14"/>
    </row>
    <row r="12888">
      <c r="B12888" s="14" t="s">
        <v>438</v>
      </c>
      <c r="J12888" s="15" t="s">
        <v>438</v>
      </c>
      <c r="M12888" s="14" t="str">
        <f>IFERROR(__xludf.DUMMYFUNCTION("""COMPUTED_VALUE"""),"")</f>
        <v/>
      </c>
      <c r="N12888" s="14"/>
    </row>
    <row r="12889">
      <c r="B12889" s="14" t="s">
        <v>438</v>
      </c>
      <c r="J12889" s="15" t="s">
        <v>438</v>
      </c>
      <c r="M12889" s="14" t="str">
        <f>IFERROR(__xludf.DUMMYFUNCTION("""COMPUTED_VALUE"""),"")</f>
        <v/>
      </c>
      <c r="N12889" s="14"/>
    </row>
    <row r="12890">
      <c r="B12890" s="14" t="s">
        <v>438</v>
      </c>
      <c r="J12890" s="15" t="s">
        <v>438</v>
      </c>
      <c r="M12890" s="14" t="str">
        <f>IFERROR(__xludf.DUMMYFUNCTION("""COMPUTED_VALUE"""),"")</f>
        <v/>
      </c>
      <c r="N12890" s="14"/>
    </row>
    <row r="12891">
      <c r="B12891" s="14" t="s">
        <v>438</v>
      </c>
      <c r="J12891" s="15" t="s">
        <v>438</v>
      </c>
      <c r="M12891" s="14" t="str">
        <f>IFERROR(__xludf.DUMMYFUNCTION("""COMPUTED_VALUE"""),"")</f>
        <v/>
      </c>
      <c r="N12891" s="14"/>
    </row>
    <row r="12892">
      <c r="B12892" s="14" t="s">
        <v>438</v>
      </c>
      <c r="J12892" s="15" t="s">
        <v>438</v>
      </c>
      <c r="M12892" s="14" t="str">
        <f>IFERROR(__xludf.DUMMYFUNCTION("""COMPUTED_VALUE"""),"")</f>
        <v/>
      </c>
      <c r="N12892" s="14"/>
    </row>
    <row r="12893">
      <c r="B12893" s="14" t="s">
        <v>438</v>
      </c>
      <c r="J12893" s="15" t="s">
        <v>438</v>
      </c>
      <c r="M12893" s="14" t="str">
        <f>IFERROR(__xludf.DUMMYFUNCTION("""COMPUTED_VALUE"""),"")</f>
        <v/>
      </c>
      <c r="N12893" s="14"/>
    </row>
    <row r="12894">
      <c r="B12894" s="14" t="s">
        <v>438</v>
      </c>
      <c r="J12894" s="15" t="s">
        <v>438</v>
      </c>
      <c r="M12894" s="14" t="str">
        <f>IFERROR(__xludf.DUMMYFUNCTION("""COMPUTED_VALUE"""),"")</f>
        <v/>
      </c>
      <c r="N12894" s="14"/>
    </row>
    <row r="12895">
      <c r="B12895" s="14" t="s">
        <v>438</v>
      </c>
      <c r="J12895" s="15" t="s">
        <v>438</v>
      </c>
      <c r="M12895" s="14" t="str">
        <f>IFERROR(__xludf.DUMMYFUNCTION("""COMPUTED_VALUE"""),"")</f>
        <v/>
      </c>
      <c r="N12895" s="14"/>
    </row>
    <row r="12896">
      <c r="B12896" s="14" t="s">
        <v>438</v>
      </c>
      <c r="J12896" s="15" t="s">
        <v>438</v>
      </c>
      <c r="M12896" s="14" t="str">
        <f>IFERROR(__xludf.DUMMYFUNCTION("""COMPUTED_VALUE"""),"")</f>
        <v/>
      </c>
      <c r="N12896" s="14"/>
    </row>
    <row r="12897">
      <c r="B12897" s="14" t="s">
        <v>438</v>
      </c>
      <c r="J12897" s="15" t="s">
        <v>438</v>
      </c>
      <c r="M12897" s="14" t="str">
        <f>IFERROR(__xludf.DUMMYFUNCTION("""COMPUTED_VALUE"""),"")</f>
        <v/>
      </c>
      <c r="N12897" s="14"/>
    </row>
    <row r="12898">
      <c r="B12898" s="14" t="s">
        <v>438</v>
      </c>
      <c r="J12898" s="15" t="s">
        <v>438</v>
      </c>
      <c r="M12898" s="14" t="str">
        <f>IFERROR(__xludf.DUMMYFUNCTION("""COMPUTED_VALUE"""),"")</f>
        <v/>
      </c>
      <c r="N12898" s="14"/>
    </row>
    <row r="12899">
      <c r="B12899" s="14" t="s">
        <v>438</v>
      </c>
      <c r="J12899" s="15" t="s">
        <v>438</v>
      </c>
      <c r="M12899" s="14" t="str">
        <f>IFERROR(__xludf.DUMMYFUNCTION("""COMPUTED_VALUE"""),"")</f>
        <v/>
      </c>
      <c r="N12899" s="14"/>
    </row>
    <row r="12900">
      <c r="B12900" s="14" t="s">
        <v>438</v>
      </c>
      <c r="J12900" s="15" t="s">
        <v>438</v>
      </c>
      <c r="M12900" s="14" t="str">
        <f>IFERROR(__xludf.DUMMYFUNCTION("""COMPUTED_VALUE"""),"")</f>
        <v/>
      </c>
      <c r="N12900" s="14"/>
    </row>
    <row r="12901">
      <c r="B12901" s="14" t="s">
        <v>438</v>
      </c>
      <c r="J12901" s="15" t="s">
        <v>438</v>
      </c>
      <c r="M12901" s="14" t="str">
        <f>IFERROR(__xludf.DUMMYFUNCTION("""COMPUTED_VALUE"""),"")</f>
        <v/>
      </c>
      <c r="N12901" s="14"/>
    </row>
    <row r="12902">
      <c r="B12902" s="14" t="s">
        <v>438</v>
      </c>
      <c r="J12902" s="15" t="s">
        <v>438</v>
      </c>
      <c r="M12902" s="14" t="str">
        <f>IFERROR(__xludf.DUMMYFUNCTION("""COMPUTED_VALUE"""),"")</f>
        <v/>
      </c>
      <c r="N12902" s="14"/>
    </row>
    <row r="12903">
      <c r="B12903" s="14" t="s">
        <v>438</v>
      </c>
      <c r="J12903" s="15" t="s">
        <v>438</v>
      </c>
      <c r="M12903" s="14" t="str">
        <f>IFERROR(__xludf.DUMMYFUNCTION("""COMPUTED_VALUE"""),"")</f>
        <v/>
      </c>
      <c r="N12903" s="14"/>
    </row>
    <row r="12904">
      <c r="B12904" s="14" t="s">
        <v>438</v>
      </c>
      <c r="J12904" s="15" t="s">
        <v>438</v>
      </c>
      <c r="M12904" s="14" t="str">
        <f>IFERROR(__xludf.DUMMYFUNCTION("""COMPUTED_VALUE"""),"")</f>
        <v/>
      </c>
      <c r="N12904" s="14"/>
    </row>
    <row r="12905">
      <c r="B12905" s="14" t="s">
        <v>438</v>
      </c>
      <c r="J12905" s="15" t="s">
        <v>438</v>
      </c>
      <c r="M12905" s="14" t="str">
        <f>IFERROR(__xludf.DUMMYFUNCTION("""COMPUTED_VALUE"""),"")</f>
        <v/>
      </c>
      <c r="N12905" s="14"/>
    </row>
    <row r="12906">
      <c r="B12906" s="14" t="s">
        <v>438</v>
      </c>
      <c r="J12906" s="15" t="s">
        <v>438</v>
      </c>
      <c r="M12906" s="14" t="str">
        <f>IFERROR(__xludf.DUMMYFUNCTION("""COMPUTED_VALUE"""),"")</f>
        <v/>
      </c>
      <c r="N12906" s="14"/>
    </row>
    <row r="12907">
      <c r="B12907" s="14" t="s">
        <v>438</v>
      </c>
      <c r="J12907" s="15" t="s">
        <v>438</v>
      </c>
      <c r="M12907" s="14" t="str">
        <f>IFERROR(__xludf.DUMMYFUNCTION("""COMPUTED_VALUE"""),"")</f>
        <v/>
      </c>
      <c r="N12907" s="14"/>
    </row>
    <row r="12908">
      <c r="B12908" s="14" t="s">
        <v>438</v>
      </c>
      <c r="J12908" s="15" t="s">
        <v>438</v>
      </c>
      <c r="M12908" s="14" t="str">
        <f>IFERROR(__xludf.DUMMYFUNCTION("""COMPUTED_VALUE"""),"")</f>
        <v/>
      </c>
      <c r="N12908" s="14"/>
    </row>
    <row r="12909">
      <c r="B12909" s="14" t="s">
        <v>438</v>
      </c>
      <c r="J12909" s="15" t="s">
        <v>438</v>
      </c>
      <c r="M12909" s="14" t="str">
        <f>IFERROR(__xludf.DUMMYFUNCTION("""COMPUTED_VALUE"""),"")</f>
        <v/>
      </c>
      <c r="N12909" s="14"/>
    </row>
    <row r="12910">
      <c r="B12910" s="14" t="s">
        <v>438</v>
      </c>
      <c r="J12910" s="15" t="s">
        <v>438</v>
      </c>
      <c r="M12910" s="14" t="str">
        <f>IFERROR(__xludf.DUMMYFUNCTION("""COMPUTED_VALUE"""),"")</f>
        <v/>
      </c>
      <c r="N12910" s="14"/>
    </row>
    <row r="12911">
      <c r="B12911" s="14" t="s">
        <v>438</v>
      </c>
      <c r="J12911" s="15" t="s">
        <v>438</v>
      </c>
      <c r="M12911" s="14" t="str">
        <f>IFERROR(__xludf.DUMMYFUNCTION("""COMPUTED_VALUE"""),"")</f>
        <v/>
      </c>
      <c r="N12911" s="14"/>
    </row>
    <row r="12912">
      <c r="B12912" s="14" t="s">
        <v>438</v>
      </c>
      <c r="J12912" s="15" t="s">
        <v>438</v>
      </c>
      <c r="M12912" s="14" t="str">
        <f>IFERROR(__xludf.DUMMYFUNCTION("""COMPUTED_VALUE"""),"")</f>
        <v/>
      </c>
      <c r="N12912" s="14"/>
    </row>
    <row r="12913">
      <c r="B12913" s="14" t="s">
        <v>438</v>
      </c>
      <c r="J12913" s="15" t="s">
        <v>438</v>
      </c>
      <c r="M12913" s="14" t="str">
        <f>IFERROR(__xludf.DUMMYFUNCTION("""COMPUTED_VALUE"""),"")</f>
        <v/>
      </c>
      <c r="N12913" s="14"/>
    </row>
    <row r="12914">
      <c r="B12914" s="14" t="s">
        <v>438</v>
      </c>
      <c r="J12914" s="15" t="s">
        <v>438</v>
      </c>
      <c r="M12914" s="14" t="str">
        <f>IFERROR(__xludf.DUMMYFUNCTION("""COMPUTED_VALUE"""),"")</f>
        <v/>
      </c>
      <c r="N12914" s="14"/>
    </row>
    <row r="12915">
      <c r="B12915" s="14" t="s">
        <v>438</v>
      </c>
      <c r="J12915" s="15" t="s">
        <v>438</v>
      </c>
      <c r="M12915" s="14" t="str">
        <f>IFERROR(__xludf.DUMMYFUNCTION("""COMPUTED_VALUE"""),"")</f>
        <v/>
      </c>
      <c r="N12915" s="14"/>
    </row>
    <row r="12916">
      <c r="B12916" s="14" t="s">
        <v>438</v>
      </c>
      <c r="J12916" s="15" t="s">
        <v>438</v>
      </c>
      <c r="M12916" s="14" t="str">
        <f>IFERROR(__xludf.DUMMYFUNCTION("""COMPUTED_VALUE"""),"")</f>
        <v/>
      </c>
      <c r="N12916" s="14"/>
    </row>
    <row r="12917">
      <c r="B12917" s="14" t="s">
        <v>438</v>
      </c>
      <c r="J12917" s="15" t="s">
        <v>438</v>
      </c>
      <c r="M12917" s="14" t="str">
        <f>IFERROR(__xludf.DUMMYFUNCTION("""COMPUTED_VALUE"""),"")</f>
        <v/>
      </c>
      <c r="N12917" s="14"/>
    </row>
    <row r="12918">
      <c r="B12918" s="14" t="s">
        <v>438</v>
      </c>
      <c r="J12918" s="15" t="s">
        <v>438</v>
      </c>
      <c r="M12918" s="14" t="str">
        <f>IFERROR(__xludf.DUMMYFUNCTION("""COMPUTED_VALUE"""),"")</f>
        <v/>
      </c>
      <c r="N12918" s="14"/>
    </row>
    <row r="12919">
      <c r="B12919" s="14" t="s">
        <v>438</v>
      </c>
      <c r="J12919" s="15" t="s">
        <v>438</v>
      </c>
      <c r="M12919" s="14" t="str">
        <f>IFERROR(__xludf.DUMMYFUNCTION("""COMPUTED_VALUE"""),"")</f>
        <v/>
      </c>
      <c r="N12919" s="14"/>
    </row>
    <row r="12920">
      <c r="B12920" s="14" t="s">
        <v>438</v>
      </c>
      <c r="J12920" s="15" t="s">
        <v>438</v>
      </c>
      <c r="M12920" s="14" t="str">
        <f>IFERROR(__xludf.DUMMYFUNCTION("""COMPUTED_VALUE"""),"")</f>
        <v/>
      </c>
      <c r="N12920" s="14"/>
    </row>
    <row r="12921">
      <c r="B12921" s="14" t="s">
        <v>438</v>
      </c>
      <c r="J12921" s="15" t="s">
        <v>438</v>
      </c>
      <c r="M12921" s="14" t="str">
        <f>IFERROR(__xludf.DUMMYFUNCTION("""COMPUTED_VALUE"""),"")</f>
        <v/>
      </c>
      <c r="N12921" s="14"/>
    </row>
    <row r="12922">
      <c r="B12922" s="14" t="s">
        <v>438</v>
      </c>
      <c r="J12922" s="15" t="s">
        <v>438</v>
      </c>
      <c r="M12922" s="14" t="str">
        <f>IFERROR(__xludf.DUMMYFUNCTION("""COMPUTED_VALUE"""),"")</f>
        <v/>
      </c>
      <c r="N12922" s="14"/>
    </row>
    <row r="12923">
      <c r="B12923" s="14" t="s">
        <v>438</v>
      </c>
      <c r="J12923" s="15" t="s">
        <v>438</v>
      </c>
      <c r="M12923" s="14" t="str">
        <f>IFERROR(__xludf.DUMMYFUNCTION("""COMPUTED_VALUE"""),"")</f>
        <v/>
      </c>
      <c r="N12923" s="14"/>
    </row>
    <row r="12924">
      <c r="B12924" s="14" t="s">
        <v>438</v>
      </c>
      <c r="J12924" s="15" t="s">
        <v>438</v>
      </c>
      <c r="M12924" s="14" t="str">
        <f>IFERROR(__xludf.DUMMYFUNCTION("""COMPUTED_VALUE"""),"")</f>
        <v/>
      </c>
      <c r="N12924" s="14"/>
    </row>
    <row r="12925">
      <c r="B12925" s="14" t="s">
        <v>438</v>
      </c>
      <c r="J12925" s="15" t="s">
        <v>438</v>
      </c>
      <c r="M12925" s="14" t="str">
        <f>IFERROR(__xludf.DUMMYFUNCTION("""COMPUTED_VALUE"""),"")</f>
        <v/>
      </c>
      <c r="N12925" s="14"/>
    </row>
    <row r="12926">
      <c r="B12926" s="14" t="s">
        <v>438</v>
      </c>
      <c r="J12926" s="15" t="s">
        <v>438</v>
      </c>
      <c r="M12926" s="14" t="str">
        <f>IFERROR(__xludf.DUMMYFUNCTION("""COMPUTED_VALUE"""),"")</f>
        <v/>
      </c>
      <c r="N12926" s="14"/>
    </row>
    <row r="12927">
      <c r="B12927" s="14" t="s">
        <v>438</v>
      </c>
      <c r="J12927" s="15" t="s">
        <v>438</v>
      </c>
      <c r="M12927" s="14" t="str">
        <f>IFERROR(__xludf.DUMMYFUNCTION("""COMPUTED_VALUE"""),"")</f>
        <v/>
      </c>
      <c r="N12927" s="14"/>
    </row>
    <row r="12928">
      <c r="B12928" s="14" t="s">
        <v>438</v>
      </c>
      <c r="J12928" s="15" t="s">
        <v>438</v>
      </c>
      <c r="M12928" s="14" t="str">
        <f>IFERROR(__xludf.DUMMYFUNCTION("""COMPUTED_VALUE"""),"")</f>
        <v/>
      </c>
      <c r="N12928" s="14"/>
    </row>
    <row r="12929">
      <c r="B12929" s="14" t="s">
        <v>438</v>
      </c>
      <c r="J12929" s="15" t="s">
        <v>438</v>
      </c>
      <c r="M12929" s="14" t="str">
        <f>IFERROR(__xludf.DUMMYFUNCTION("""COMPUTED_VALUE"""),"")</f>
        <v/>
      </c>
      <c r="N12929" s="14"/>
    </row>
    <row r="12930">
      <c r="B12930" s="14" t="s">
        <v>438</v>
      </c>
      <c r="J12930" s="15" t="s">
        <v>438</v>
      </c>
      <c r="M12930" s="14" t="str">
        <f>IFERROR(__xludf.DUMMYFUNCTION("""COMPUTED_VALUE"""),"")</f>
        <v/>
      </c>
      <c r="N12930" s="14"/>
    </row>
    <row r="12931">
      <c r="B12931" s="14" t="s">
        <v>438</v>
      </c>
      <c r="J12931" s="15" t="s">
        <v>438</v>
      </c>
      <c r="M12931" s="14" t="str">
        <f>IFERROR(__xludf.DUMMYFUNCTION("""COMPUTED_VALUE"""),"")</f>
        <v/>
      </c>
      <c r="N12931" s="14"/>
    </row>
    <row r="12932">
      <c r="B12932" s="14" t="s">
        <v>438</v>
      </c>
      <c r="J12932" s="15" t="s">
        <v>438</v>
      </c>
      <c r="M12932" s="14" t="str">
        <f>IFERROR(__xludf.DUMMYFUNCTION("""COMPUTED_VALUE"""),"")</f>
        <v/>
      </c>
      <c r="N12932" s="14"/>
    </row>
    <row r="12933">
      <c r="B12933" s="14" t="s">
        <v>438</v>
      </c>
      <c r="J12933" s="15" t="s">
        <v>438</v>
      </c>
      <c r="M12933" s="14" t="str">
        <f>IFERROR(__xludf.DUMMYFUNCTION("""COMPUTED_VALUE"""),"")</f>
        <v/>
      </c>
      <c r="N12933" s="14"/>
    </row>
    <row r="12934">
      <c r="B12934" s="14" t="s">
        <v>438</v>
      </c>
      <c r="J12934" s="15" t="s">
        <v>438</v>
      </c>
      <c r="M12934" s="14" t="str">
        <f>IFERROR(__xludf.DUMMYFUNCTION("""COMPUTED_VALUE"""),"")</f>
        <v/>
      </c>
      <c r="N12934" s="14"/>
    </row>
    <row r="12935">
      <c r="B12935" s="14" t="s">
        <v>438</v>
      </c>
      <c r="J12935" s="15" t="s">
        <v>438</v>
      </c>
      <c r="M12935" s="14" t="str">
        <f>IFERROR(__xludf.DUMMYFUNCTION("""COMPUTED_VALUE"""),"")</f>
        <v/>
      </c>
      <c r="N12935" s="14"/>
    </row>
    <row r="12936">
      <c r="B12936" s="14" t="s">
        <v>438</v>
      </c>
      <c r="J12936" s="15" t="s">
        <v>438</v>
      </c>
      <c r="M12936" s="14" t="str">
        <f>IFERROR(__xludf.DUMMYFUNCTION("""COMPUTED_VALUE"""),"")</f>
        <v/>
      </c>
      <c r="N12936" s="14"/>
    </row>
    <row r="12937">
      <c r="B12937" s="14" t="s">
        <v>438</v>
      </c>
      <c r="J12937" s="15" t="s">
        <v>438</v>
      </c>
      <c r="M12937" s="14" t="str">
        <f>IFERROR(__xludf.DUMMYFUNCTION("""COMPUTED_VALUE"""),"")</f>
        <v/>
      </c>
      <c r="N12937" s="14"/>
    </row>
    <row r="12938">
      <c r="B12938" s="14" t="s">
        <v>438</v>
      </c>
      <c r="J12938" s="15" t="s">
        <v>438</v>
      </c>
      <c r="M12938" s="14" t="str">
        <f>IFERROR(__xludf.DUMMYFUNCTION("""COMPUTED_VALUE"""),"")</f>
        <v/>
      </c>
      <c r="N12938" s="14"/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 t="s">
        <v>438</v>
      </c>
    </row>
    <row r="31897">
      <c r="B31897" s="14" t="s">
        <v>438</v>
      </c>
      <c r="J31897" s="15" t="s">
        <v>438</v>
      </c>
    </row>
    <row r="31898">
      <c r="B31898" s="14" t="s">
        <v>438</v>
      </c>
      <c r="J31898" s="15" t="s">
        <v>438</v>
      </c>
    </row>
    <row r="31899">
      <c r="B31899" s="14" t="s">
        <v>438</v>
      </c>
      <c r="J31899" s="15" t="s">
        <v>438</v>
      </c>
    </row>
    <row r="31900">
      <c r="B31900" s="14" t="s">
        <v>438</v>
      </c>
      <c r="J31900" s="15" t="s">
        <v>438</v>
      </c>
    </row>
    <row r="31901">
      <c r="B31901" s="14" t="s">
        <v>438</v>
      </c>
      <c r="J31901" s="15" t="s">
        <v>438</v>
      </c>
    </row>
    <row r="31902">
      <c r="B31902" s="14" t="s">
        <v>438</v>
      </c>
      <c r="J31902" s="15" t="s">
        <v>438</v>
      </c>
    </row>
    <row r="31903">
      <c r="B31903" s="14" t="s">
        <v>438</v>
      </c>
      <c r="J31903" s="15" t="s">
        <v>438</v>
      </c>
    </row>
    <row r="31904">
      <c r="B31904" s="14" t="s">
        <v>438</v>
      </c>
      <c r="J31904" s="15" t="s">
        <v>438</v>
      </c>
    </row>
    <row r="31905">
      <c r="B31905" s="14" t="s">
        <v>438</v>
      </c>
      <c r="J31905" s="15" t="s">
        <v>438</v>
      </c>
    </row>
    <row r="31906">
      <c r="B31906" s="14" t="s">
        <v>438</v>
      </c>
      <c r="J31906" s="15" t="s">
        <v>438</v>
      </c>
    </row>
    <row r="31907">
      <c r="B31907" s="14" t="s">
        <v>438</v>
      </c>
      <c r="J31907" s="15" t="s">
        <v>438</v>
      </c>
    </row>
    <row r="31908">
      <c r="B31908" s="14" t="s">
        <v>438</v>
      </c>
      <c r="J31908" s="15" t="s">
        <v>438</v>
      </c>
    </row>
    <row r="31909">
      <c r="B31909" s="14" t="s">
        <v>438</v>
      </c>
      <c r="J31909" s="15" t="s">
        <v>438</v>
      </c>
    </row>
    <row r="31910">
      <c r="B31910" s="14" t="s">
        <v>438</v>
      </c>
      <c r="J31910" s="15" t="s">
        <v>438</v>
      </c>
    </row>
    <row r="31911">
      <c r="B31911" s="14" t="s">
        <v>438</v>
      </c>
      <c r="J31911" s="15" t="s">
        <v>438</v>
      </c>
    </row>
    <row r="31912">
      <c r="B31912" s="14" t="s">
        <v>438</v>
      </c>
      <c r="J31912" s="15" t="s">
        <v>438</v>
      </c>
    </row>
    <row r="31913">
      <c r="B31913" s="14" t="s">
        <v>438</v>
      </c>
      <c r="J31913" s="15" t="s">
        <v>438</v>
      </c>
    </row>
    <row r="31914">
      <c r="B31914" s="14" t="s">
        <v>438</v>
      </c>
      <c r="J31914" s="15" t="s">
        <v>438</v>
      </c>
    </row>
    <row r="31915">
      <c r="B31915" s="14" t="s">
        <v>438</v>
      </c>
      <c r="J31915" s="15" t="s">
        <v>438</v>
      </c>
    </row>
    <row r="31916">
      <c r="B31916" s="14" t="s">
        <v>438</v>
      </c>
      <c r="J31916" s="15" t="s">
        <v>438</v>
      </c>
    </row>
    <row r="31917">
      <c r="B31917" s="14" t="s">
        <v>438</v>
      </c>
      <c r="J31917" s="15" t="s">
        <v>438</v>
      </c>
    </row>
    <row r="31918">
      <c r="B31918" s="14" t="s">
        <v>438</v>
      </c>
      <c r="J31918" s="15" t="s">
        <v>438</v>
      </c>
    </row>
    <row r="31919">
      <c r="B31919" s="14" t="s">
        <v>438</v>
      </c>
      <c r="J31919" s="15" t="s">
        <v>438</v>
      </c>
    </row>
    <row r="31920">
      <c r="B31920" s="14" t="s">
        <v>438</v>
      </c>
      <c r="J31920" s="15" t="s">
        <v>438</v>
      </c>
    </row>
    <row r="31921">
      <c r="B31921" s="14" t="s">
        <v>438</v>
      </c>
      <c r="J31921" s="15" t="s">
        <v>438</v>
      </c>
    </row>
    <row r="31922">
      <c r="B31922" s="14" t="s">
        <v>438</v>
      </c>
      <c r="J31922" s="15" t="s">
        <v>438</v>
      </c>
    </row>
    <row r="31923">
      <c r="B31923" s="14" t="s">
        <v>438</v>
      </c>
      <c r="J31923" s="15" t="s">
        <v>438</v>
      </c>
    </row>
    <row r="31924">
      <c r="B31924" s="14" t="s">
        <v>438</v>
      </c>
      <c r="J31924" s="15" t="s">
        <v>438</v>
      </c>
    </row>
    <row r="31925">
      <c r="B31925" s="14" t="s">
        <v>438</v>
      </c>
      <c r="J31925" s="15" t="s">
        <v>438</v>
      </c>
    </row>
    <row r="31926">
      <c r="B31926" s="14" t="s">
        <v>438</v>
      </c>
      <c r="J31926" s="15" t="s">
        <v>438</v>
      </c>
    </row>
    <row r="31927">
      <c r="B31927" s="14" t="s">
        <v>438</v>
      </c>
      <c r="J31927" s="15" t="s">
        <v>438</v>
      </c>
    </row>
    <row r="31928">
      <c r="B31928" s="14" t="s">
        <v>438</v>
      </c>
      <c r="J31928" s="15" t="s">
        <v>438</v>
      </c>
    </row>
    <row r="31929">
      <c r="B31929" s="14" t="s">
        <v>438</v>
      </c>
      <c r="J31929" s="15" t="s">
        <v>438</v>
      </c>
    </row>
    <row r="31930">
      <c r="B31930" s="14" t="s">
        <v>438</v>
      </c>
      <c r="J31930" s="15" t="s">
        <v>438</v>
      </c>
    </row>
    <row r="31931">
      <c r="B31931" s="14" t="s">
        <v>438</v>
      </c>
      <c r="J31931" s="15" t="s">
        <v>438</v>
      </c>
    </row>
    <row r="31932">
      <c r="B31932" s="14" t="s">
        <v>438</v>
      </c>
      <c r="J31932" s="15" t="s">
        <v>438</v>
      </c>
    </row>
    <row r="31933">
      <c r="B31933" s="14" t="s">
        <v>438</v>
      </c>
      <c r="J31933" s="15" t="s">
        <v>438</v>
      </c>
    </row>
    <row r="31934">
      <c r="B31934" s="14" t="s">
        <v>438</v>
      </c>
      <c r="J31934" s="15" t="s">
        <v>438</v>
      </c>
    </row>
    <row r="31935">
      <c r="B31935" s="14" t="s">
        <v>438</v>
      </c>
      <c r="J31935" s="15" t="s">
        <v>438</v>
      </c>
    </row>
    <row r="31936">
      <c r="B31936" s="14" t="s">
        <v>438</v>
      </c>
      <c r="J31936" s="15" t="s">
        <v>438</v>
      </c>
    </row>
    <row r="31937">
      <c r="B31937" s="14" t="s">
        <v>438</v>
      </c>
      <c r="J31937" s="15" t="s">
        <v>438</v>
      </c>
    </row>
    <row r="31938">
      <c r="B31938" s="14" t="s">
        <v>438</v>
      </c>
      <c r="J31938" s="15" t="s">
        <v>438</v>
      </c>
    </row>
    <row r="31939">
      <c r="B31939" s="14" t="s">
        <v>438</v>
      </c>
      <c r="J31939" s="15" t="s">
        <v>438</v>
      </c>
    </row>
    <row r="31940">
      <c r="B31940" s="14" t="s">
        <v>438</v>
      </c>
      <c r="J31940" s="15" t="s">
        <v>438</v>
      </c>
    </row>
    <row r="31941">
      <c r="B31941" s="14" t="s">
        <v>438</v>
      </c>
      <c r="J31941" s="15" t="s">
        <v>438</v>
      </c>
    </row>
    <row r="31942">
      <c r="B31942" s="14" t="s">
        <v>438</v>
      </c>
      <c r="J31942" s="15" t="s">
        <v>438</v>
      </c>
    </row>
    <row r="31943">
      <c r="B31943" s="14" t="s">
        <v>438</v>
      </c>
      <c r="J31943" s="15" t="s">
        <v>438</v>
      </c>
    </row>
    <row r="31944">
      <c r="B31944" s="14" t="s">
        <v>438</v>
      </c>
      <c r="J31944" s="15" t="s">
        <v>438</v>
      </c>
    </row>
    <row r="31945">
      <c r="B31945" s="14" t="s">
        <v>438</v>
      </c>
      <c r="J31945" s="15" t="s">
        <v>438</v>
      </c>
    </row>
    <row r="31946">
      <c r="B31946" s="14" t="s">
        <v>438</v>
      </c>
      <c r="J31946" s="15" t="s">
        <v>438</v>
      </c>
    </row>
    <row r="31947">
      <c r="B31947" s="14" t="s">
        <v>438</v>
      </c>
      <c r="J31947" s="15" t="s">
        <v>438</v>
      </c>
    </row>
    <row r="31948">
      <c r="B31948" s="14" t="s">
        <v>438</v>
      </c>
      <c r="J31948" s="15" t="s">
        <v>438</v>
      </c>
    </row>
    <row r="31949">
      <c r="B31949" s="14" t="s">
        <v>438</v>
      </c>
      <c r="J31949" s="15" t="s">
        <v>438</v>
      </c>
    </row>
    <row r="31950">
      <c r="B31950" s="14" t="s">
        <v>438</v>
      </c>
      <c r="J31950" s="15" t="s">
        <v>438</v>
      </c>
    </row>
    <row r="31951">
      <c r="B31951" s="14" t="s">
        <v>438</v>
      </c>
      <c r="J31951" s="15" t="s">
        <v>438</v>
      </c>
    </row>
    <row r="31952">
      <c r="B31952" s="14" t="s">
        <v>438</v>
      </c>
      <c r="J31952" s="15" t="s">
        <v>438</v>
      </c>
    </row>
    <row r="31953">
      <c r="B31953" s="14" t="s">
        <v>438</v>
      </c>
      <c r="J31953" s="15" t="s">
        <v>438</v>
      </c>
    </row>
    <row r="31954">
      <c r="B31954" s="14" t="s">
        <v>438</v>
      </c>
      <c r="J31954" s="15" t="s">
        <v>438</v>
      </c>
    </row>
    <row r="31955">
      <c r="B31955" s="14" t="s">
        <v>438</v>
      </c>
      <c r="J31955" s="15" t="s">
        <v>438</v>
      </c>
    </row>
    <row r="31956">
      <c r="B31956" s="14" t="s">
        <v>438</v>
      </c>
      <c r="J31956" s="15" t="s">
        <v>438</v>
      </c>
    </row>
    <row r="31957">
      <c r="B31957" s="14" t="s">
        <v>438</v>
      </c>
      <c r="J31957" s="15" t="s">
        <v>438</v>
      </c>
    </row>
    <row r="31958">
      <c r="B31958" s="14" t="s">
        <v>438</v>
      </c>
      <c r="J31958" s="15" t="s">
        <v>438</v>
      </c>
    </row>
    <row r="31959">
      <c r="B31959" s="14" t="s">
        <v>438</v>
      </c>
      <c r="J31959" s="15" t="s">
        <v>438</v>
      </c>
    </row>
    <row r="31960">
      <c r="B31960" s="14" t="s">
        <v>438</v>
      </c>
      <c r="J31960" s="15" t="s">
        <v>438</v>
      </c>
    </row>
    <row r="31961">
      <c r="B31961" s="14" t="s">
        <v>438</v>
      </c>
      <c r="J31961" s="15" t="s">
        <v>438</v>
      </c>
    </row>
    <row r="31962">
      <c r="B31962" s="14" t="s">
        <v>438</v>
      </c>
      <c r="J31962" s="15" t="s">
        <v>438</v>
      </c>
    </row>
    <row r="31963">
      <c r="B31963" s="14" t="s">
        <v>438</v>
      </c>
      <c r="J31963" s="15" t="s">
        <v>438</v>
      </c>
    </row>
    <row r="31964">
      <c r="B31964" s="14" t="s">
        <v>438</v>
      </c>
      <c r="J31964" s="15" t="s">
        <v>438</v>
      </c>
    </row>
    <row r="31965">
      <c r="B31965" s="14" t="s">
        <v>438</v>
      </c>
      <c r="J31965" s="15" t="s">
        <v>438</v>
      </c>
    </row>
    <row r="31966">
      <c r="B31966" s="14" t="s">
        <v>438</v>
      </c>
      <c r="J31966" s="15" t="s">
        <v>438</v>
      </c>
    </row>
    <row r="31967">
      <c r="B31967" s="14" t="s">
        <v>438</v>
      </c>
      <c r="J31967" s="15" t="s">
        <v>438</v>
      </c>
    </row>
    <row r="31968">
      <c r="B31968" s="14" t="s">
        <v>438</v>
      </c>
      <c r="J31968" s="15" t="s">
        <v>438</v>
      </c>
    </row>
    <row r="31969">
      <c r="B31969" s="14" t="s">
        <v>438</v>
      </c>
      <c r="J31969" s="15" t="s">
        <v>438</v>
      </c>
    </row>
    <row r="31970">
      <c r="B31970" s="14" t="s">
        <v>438</v>
      </c>
      <c r="J31970" s="15" t="s">
        <v>438</v>
      </c>
    </row>
    <row r="31971">
      <c r="B31971" s="14" t="s">
        <v>438</v>
      </c>
      <c r="J31971" s="15" t="s">
        <v>438</v>
      </c>
    </row>
    <row r="31972">
      <c r="B31972" s="14" t="s">
        <v>438</v>
      </c>
      <c r="J31972" s="15" t="s">
        <v>438</v>
      </c>
    </row>
    <row r="31973">
      <c r="B31973" s="14" t="s">
        <v>438</v>
      </c>
      <c r="J31973" s="15" t="s">
        <v>438</v>
      </c>
    </row>
    <row r="31974">
      <c r="B31974" s="14" t="s">
        <v>438</v>
      </c>
      <c r="J31974" s="15" t="s">
        <v>438</v>
      </c>
    </row>
    <row r="31975">
      <c r="B31975" s="14" t="s">
        <v>438</v>
      </c>
      <c r="J31975" s="15" t="s">
        <v>438</v>
      </c>
    </row>
    <row r="31976">
      <c r="B31976" s="14" t="s">
        <v>438</v>
      </c>
      <c r="J31976" s="15" t="s">
        <v>438</v>
      </c>
    </row>
    <row r="31977">
      <c r="B31977" s="14" t="s">
        <v>438</v>
      </c>
      <c r="J31977" s="15" t="s">
        <v>438</v>
      </c>
    </row>
    <row r="31978">
      <c r="B31978" s="14" t="s">
        <v>438</v>
      </c>
      <c r="J31978" s="15" t="s">
        <v>438</v>
      </c>
    </row>
    <row r="31979">
      <c r="B31979" s="14" t="s">
        <v>438</v>
      </c>
      <c r="J31979" s="15" t="s">
        <v>438</v>
      </c>
    </row>
    <row r="31980">
      <c r="B31980" s="14" t="s">
        <v>438</v>
      </c>
      <c r="J31980" s="15" t="s">
        <v>438</v>
      </c>
    </row>
    <row r="31981">
      <c r="B31981" s="14" t="s">
        <v>438</v>
      </c>
      <c r="J31981" s="15" t="s">
        <v>438</v>
      </c>
    </row>
    <row r="31982">
      <c r="B31982" s="14" t="s">
        <v>438</v>
      </c>
      <c r="J31982" s="15" t="s">
        <v>438</v>
      </c>
    </row>
    <row r="31983">
      <c r="B31983" s="14" t="s">
        <v>438</v>
      </c>
      <c r="J31983" s="15" t="s">
        <v>438</v>
      </c>
    </row>
    <row r="31984">
      <c r="B31984" s="14" t="s">
        <v>438</v>
      </c>
      <c r="J31984" s="15" t="s">
        <v>438</v>
      </c>
    </row>
    <row r="31985">
      <c r="B31985" s="14" t="s">
        <v>438</v>
      </c>
      <c r="J31985" s="15" t="s">
        <v>438</v>
      </c>
    </row>
    <row r="31986">
      <c r="B31986" s="14" t="s">
        <v>438</v>
      </c>
      <c r="J31986" s="15" t="s">
        <v>438</v>
      </c>
    </row>
    <row r="31987">
      <c r="B31987" s="14" t="s">
        <v>438</v>
      </c>
      <c r="J31987" s="15" t="s">
        <v>438</v>
      </c>
    </row>
    <row r="31988">
      <c r="B31988" s="14" t="s">
        <v>438</v>
      </c>
      <c r="J31988" s="15" t="s">
        <v>438</v>
      </c>
    </row>
    <row r="31989">
      <c r="B31989" s="14" t="s">
        <v>438</v>
      </c>
      <c r="J31989" s="15" t="s">
        <v>438</v>
      </c>
    </row>
    <row r="31990">
      <c r="B31990" s="14" t="s">
        <v>438</v>
      </c>
      <c r="J31990" s="15" t="s">
        <v>438</v>
      </c>
    </row>
    <row r="31991">
      <c r="B31991" s="14" t="s">
        <v>438</v>
      </c>
      <c r="J31991" s="15" t="s">
        <v>438</v>
      </c>
    </row>
    <row r="31992">
      <c r="B31992" s="14" t="s">
        <v>438</v>
      </c>
      <c r="J31992" s="15" t="s">
        <v>438</v>
      </c>
    </row>
    <row r="31993">
      <c r="B31993" s="14" t="s">
        <v>438</v>
      </c>
      <c r="J31993" s="15" t="s">
        <v>438</v>
      </c>
    </row>
    <row r="31994">
      <c r="B31994" s="14" t="s">
        <v>438</v>
      </c>
      <c r="J31994" s="15" t="s">
        <v>438</v>
      </c>
    </row>
    <row r="31995">
      <c r="B31995" s="14" t="s">
        <v>438</v>
      </c>
      <c r="J31995" s="15" t="s">
        <v>438</v>
      </c>
    </row>
    <row r="31996">
      <c r="B31996" s="14" t="s">
        <v>438</v>
      </c>
      <c r="J31996" s="15" t="s">
        <v>438</v>
      </c>
    </row>
    <row r="31997">
      <c r="B31997" s="14" t="s">
        <v>438</v>
      </c>
      <c r="J31997" s="15" t="s">
        <v>438</v>
      </c>
    </row>
    <row r="31998">
      <c r="B31998" s="14" t="s">
        <v>438</v>
      </c>
      <c r="J31998" s="15" t="s">
        <v>438</v>
      </c>
    </row>
    <row r="31999">
      <c r="B31999" s="14" t="s">
        <v>438</v>
      </c>
      <c r="J31999" s="15" t="s">
        <v>438</v>
      </c>
    </row>
    <row r="32000">
      <c r="B32000" s="14" t="s">
        <v>438</v>
      </c>
      <c r="J32000" s="15" t="s">
        <v>438</v>
      </c>
    </row>
    <row r="32001">
      <c r="B32001" s="14" t="s">
        <v>438</v>
      </c>
      <c r="J32001" s="15" t="s">
        <v>438</v>
      </c>
    </row>
    <row r="32002">
      <c r="B32002" s="14" t="s">
        <v>438</v>
      </c>
      <c r="J32002" s="15" t="s">
        <v>438</v>
      </c>
    </row>
    <row r="32003">
      <c r="B32003" s="14" t="s">
        <v>438</v>
      </c>
      <c r="J32003" s="15" t="s">
        <v>438</v>
      </c>
    </row>
    <row r="32004">
      <c r="B32004" s="14" t="s">
        <v>438</v>
      </c>
      <c r="J32004" s="15" t="s">
        <v>438</v>
      </c>
    </row>
    <row r="32005">
      <c r="B32005" s="14" t="s">
        <v>438</v>
      </c>
      <c r="J32005" s="15" t="s">
        <v>438</v>
      </c>
    </row>
    <row r="32006">
      <c r="B32006" s="14" t="s">
        <v>438</v>
      </c>
      <c r="J32006" s="15" t="s">
        <v>438</v>
      </c>
    </row>
    <row r="32007">
      <c r="B32007" s="14" t="s">
        <v>438</v>
      </c>
      <c r="J32007" s="15" t="s">
        <v>438</v>
      </c>
    </row>
    <row r="32008">
      <c r="B32008" s="14" t="s">
        <v>438</v>
      </c>
      <c r="J32008" s="15" t="s">
        <v>438</v>
      </c>
    </row>
    <row r="32009">
      <c r="B32009" s="14" t="s">
        <v>438</v>
      </c>
      <c r="J32009" s="15" t="s">
        <v>438</v>
      </c>
    </row>
    <row r="32010">
      <c r="B32010" s="14" t="s">
        <v>438</v>
      </c>
      <c r="J32010" s="15" t="s">
        <v>438</v>
      </c>
    </row>
    <row r="32011">
      <c r="B32011" s="14" t="s">
        <v>438</v>
      </c>
      <c r="J32011" s="15" t="s">
        <v>438</v>
      </c>
    </row>
    <row r="32012">
      <c r="B32012" s="14" t="s">
        <v>438</v>
      </c>
      <c r="J32012" s="15" t="s">
        <v>438</v>
      </c>
    </row>
    <row r="32013">
      <c r="B32013" s="14" t="s">
        <v>438</v>
      </c>
      <c r="J32013" s="15" t="s">
        <v>438</v>
      </c>
    </row>
    <row r="32014">
      <c r="B32014" s="14" t="s">
        <v>438</v>
      </c>
      <c r="J32014" s="15" t="s">
        <v>438</v>
      </c>
    </row>
    <row r="32015">
      <c r="B32015" s="14" t="s">
        <v>438</v>
      </c>
      <c r="J32015" s="15" t="s">
        <v>438</v>
      </c>
    </row>
    <row r="32016">
      <c r="B32016" s="14" t="s">
        <v>438</v>
      </c>
      <c r="J32016" s="15" t="s">
        <v>438</v>
      </c>
    </row>
    <row r="32017">
      <c r="B32017" s="14" t="s">
        <v>438</v>
      </c>
      <c r="J32017" s="15" t="s">
        <v>438</v>
      </c>
    </row>
    <row r="32018">
      <c r="B32018" s="14" t="s">
        <v>438</v>
      </c>
      <c r="J32018" s="15" t="s">
        <v>438</v>
      </c>
    </row>
    <row r="32019">
      <c r="B32019" s="14" t="s">
        <v>438</v>
      </c>
      <c r="J32019" s="15" t="s">
        <v>438</v>
      </c>
    </row>
    <row r="32020">
      <c r="B32020" s="14" t="s">
        <v>438</v>
      </c>
      <c r="J32020" s="15" t="s">
        <v>438</v>
      </c>
    </row>
    <row r="32021">
      <c r="B32021" s="14" t="s">
        <v>438</v>
      </c>
      <c r="J32021" s="15" t="s">
        <v>438</v>
      </c>
    </row>
    <row r="32022">
      <c r="B32022" s="14" t="s">
        <v>438</v>
      </c>
      <c r="J32022" s="15" t="s">
        <v>438</v>
      </c>
    </row>
    <row r="32023">
      <c r="B32023" s="14" t="s">
        <v>438</v>
      </c>
      <c r="J32023" s="15" t="s">
        <v>438</v>
      </c>
    </row>
    <row r="32024">
      <c r="B32024" s="14" t="s">
        <v>438</v>
      </c>
      <c r="J32024" s="15" t="s">
        <v>438</v>
      </c>
    </row>
    <row r="32025">
      <c r="B32025" s="14" t="s">
        <v>438</v>
      </c>
      <c r="J32025" s="15" t="s">
        <v>438</v>
      </c>
    </row>
    <row r="32026">
      <c r="B32026" s="14" t="s">
        <v>438</v>
      </c>
      <c r="J32026" s="15" t="s">
        <v>438</v>
      </c>
    </row>
    <row r="32027">
      <c r="B32027" s="14" t="s">
        <v>438</v>
      </c>
      <c r="J32027" s="15" t="s">
        <v>438</v>
      </c>
    </row>
    <row r="32028">
      <c r="B32028" s="14" t="s">
        <v>438</v>
      </c>
      <c r="J32028" s="15" t="s">
        <v>438</v>
      </c>
    </row>
    <row r="32029">
      <c r="B32029" s="14" t="s">
        <v>438</v>
      </c>
      <c r="J32029" s="15" t="s">
        <v>438</v>
      </c>
    </row>
    <row r="32030">
      <c r="B32030" s="14" t="s">
        <v>438</v>
      </c>
      <c r="J32030" s="15" t="s">
        <v>438</v>
      </c>
    </row>
    <row r="32031">
      <c r="B32031" s="14" t="s">
        <v>438</v>
      </c>
      <c r="J32031" s="15" t="s">
        <v>438</v>
      </c>
    </row>
    <row r="32032">
      <c r="B32032" s="14" t="s">
        <v>438</v>
      </c>
      <c r="J32032" s="15" t="s">
        <v>438</v>
      </c>
    </row>
    <row r="32033">
      <c r="B32033" s="14" t="s">
        <v>438</v>
      </c>
      <c r="J32033" s="15" t="s">
        <v>438</v>
      </c>
    </row>
    <row r="32034">
      <c r="B32034" s="14" t="s">
        <v>438</v>
      </c>
      <c r="J32034" s="15" t="s">
        <v>438</v>
      </c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  <row r="52396">
      <c r="B52396" s="14" t="s">
        <v>438</v>
      </c>
      <c r="J52396" s="15"/>
    </row>
    <row r="52397">
      <c r="B52397" s="14" t="s">
        <v>438</v>
      </c>
      <c r="J52397" s="15"/>
    </row>
    <row r="52398">
      <c r="B52398" s="14" t="s">
        <v>438</v>
      </c>
      <c r="J52398" s="15"/>
    </row>
    <row r="52399">
      <c r="B52399" s="14" t="s">
        <v>438</v>
      </c>
      <c r="J52399" s="15"/>
    </row>
    <row r="52400">
      <c r="B52400" s="14" t="s">
        <v>438</v>
      </c>
      <c r="J52400" s="15"/>
    </row>
    <row r="52401">
      <c r="B52401" s="14" t="s">
        <v>438</v>
      </c>
      <c r="J52401" s="15"/>
    </row>
    <row r="52402">
      <c r="B52402" s="14" t="s">
        <v>438</v>
      </c>
      <c r="J52402" s="15"/>
    </row>
    <row r="52403">
      <c r="B52403" s="14" t="s">
        <v>438</v>
      </c>
      <c r="J52403" s="15"/>
    </row>
    <row r="52404">
      <c r="B52404" s="14" t="s">
        <v>438</v>
      </c>
      <c r="J52404" s="15"/>
    </row>
    <row r="52405">
      <c r="B52405" s="14" t="s">
        <v>438</v>
      </c>
      <c r="J52405" s="15"/>
    </row>
    <row r="52406">
      <c r="B52406" s="14" t="s">
        <v>438</v>
      </c>
      <c r="J52406" s="15"/>
    </row>
    <row r="52407">
      <c r="B52407" s="14" t="s">
        <v>438</v>
      </c>
      <c r="J52407" s="15"/>
    </row>
    <row r="52408">
      <c r="B52408" s="14" t="s">
        <v>438</v>
      </c>
      <c r="J52408" s="15"/>
    </row>
    <row r="52409">
      <c r="B52409" s="14" t="s">
        <v>438</v>
      </c>
      <c r="J52409" s="15"/>
    </row>
    <row r="52410">
      <c r="B52410" s="14" t="s">
        <v>438</v>
      </c>
      <c r="J52410" s="15"/>
    </row>
    <row r="52411">
      <c r="B52411" s="14" t="s">
        <v>438</v>
      </c>
      <c r="J52411" s="15"/>
    </row>
    <row r="52412">
      <c r="B52412" s="14" t="s">
        <v>438</v>
      </c>
      <c r="J52412" s="15"/>
    </row>
    <row r="52413">
      <c r="B52413" s="14" t="s">
        <v>438</v>
      </c>
      <c r="J52413" s="15"/>
    </row>
    <row r="52414">
      <c r="B52414" s="14" t="s">
        <v>438</v>
      </c>
      <c r="J52414" s="15"/>
    </row>
    <row r="52415">
      <c r="B52415" s="14" t="s">
        <v>438</v>
      </c>
      <c r="J52415" s="15"/>
    </row>
    <row r="52416">
      <c r="B52416" s="14" t="s">
        <v>438</v>
      </c>
      <c r="J52416" s="15"/>
    </row>
    <row r="52417">
      <c r="B52417" s="14" t="s">
        <v>438</v>
      </c>
      <c r="J52417" s="15"/>
    </row>
    <row r="52418">
      <c r="B52418" s="14" t="s">
        <v>438</v>
      </c>
      <c r="J52418" s="15"/>
    </row>
    <row r="52419">
      <c r="B52419" s="14" t="s">
        <v>438</v>
      </c>
      <c r="J52419" s="15"/>
    </row>
    <row r="52420">
      <c r="B52420" s="14" t="s">
        <v>438</v>
      </c>
      <c r="J52420" s="15"/>
    </row>
    <row r="52421">
      <c r="B52421" s="14" t="s">
        <v>438</v>
      </c>
      <c r="J52421" s="15"/>
    </row>
    <row r="52422">
      <c r="B52422" s="14" t="s">
        <v>438</v>
      </c>
      <c r="J52422" s="15"/>
    </row>
    <row r="52423">
      <c r="B52423" s="14" t="s">
        <v>438</v>
      </c>
      <c r="J52423" s="15"/>
    </row>
    <row r="52424">
      <c r="B52424" s="14" t="s">
        <v>438</v>
      </c>
      <c r="J52424" s="15"/>
    </row>
    <row r="52425">
      <c r="B52425" s="14" t="s">
        <v>438</v>
      </c>
      <c r="J52425" s="15"/>
    </row>
    <row r="52426">
      <c r="B52426" s="14" t="s">
        <v>438</v>
      </c>
      <c r="J52426" s="15"/>
    </row>
    <row r="52427">
      <c r="B52427" s="14" t="s">
        <v>438</v>
      </c>
      <c r="J52427" s="15"/>
    </row>
    <row r="52428">
      <c r="B52428" s="14" t="s">
        <v>438</v>
      </c>
      <c r="J52428" s="15"/>
    </row>
    <row r="52429">
      <c r="B52429" s="14" t="s">
        <v>438</v>
      </c>
      <c r="J52429" s="15"/>
    </row>
    <row r="52430">
      <c r="B52430" s="14" t="s">
        <v>438</v>
      </c>
      <c r="J52430" s="15"/>
    </row>
    <row r="52431">
      <c r="B52431" s="14" t="s">
        <v>438</v>
      </c>
      <c r="J52431" s="15"/>
    </row>
    <row r="52432">
      <c r="B52432" s="14" t="s">
        <v>438</v>
      </c>
      <c r="J52432" s="15"/>
    </row>
    <row r="52433">
      <c r="B52433" s="14" t="s">
        <v>438</v>
      </c>
      <c r="J52433" s="15"/>
    </row>
    <row r="52434">
      <c r="B52434" s="14" t="s">
        <v>438</v>
      </c>
      <c r="J52434" s="15"/>
    </row>
    <row r="52435">
      <c r="B52435" s="14" t="s">
        <v>438</v>
      </c>
      <c r="J52435" s="15"/>
    </row>
    <row r="52436">
      <c r="B52436" s="14" t="s">
        <v>438</v>
      </c>
      <c r="J52436" s="15"/>
    </row>
    <row r="52437">
      <c r="B52437" s="14" t="s">
        <v>438</v>
      </c>
      <c r="J52437" s="15"/>
    </row>
    <row r="52438">
      <c r="B52438" s="14" t="s">
        <v>438</v>
      </c>
      <c r="J52438" s="15"/>
    </row>
    <row r="52439">
      <c r="B52439" s="14" t="s">
        <v>438</v>
      </c>
      <c r="J52439" s="15"/>
    </row>
    <row r="52440">
      <c r="B52440" s="14" t="s">
        <v>438</v>
      </c>
      <c r="J52440" s="15"/>
    </row>
    <row r="52441">
      <c r="B52441" s="14" t="s">
        <v>438</v>
      </c>
      <c r="J52441" s="15"/>
    </row>
    <row r="52442">
      <c r="B52442" s="14" t="s">
        <v>438</v>
      </c>
      <c r="J52442" s="15"/>
    </row>
    <row r="52443">
      <c r="B52443" s="14" t="s">
        <v>438</v>
      </c>
      <c r="J52443" s="15"/>
    </row>
    <row r="52444">
      <c r="B52444" s="14" t="s">
        <v>438</v>
      </c>
      <c r="J52444" s="15"/>
    </row>
    <row r="52445">
      <c r="B52445" s="14" t="s">
        <v>438</v>
      </c>
      <c r="J52445" s="15"/>
    </row>
    <row r="52446">
      <c r="B52446" s="14" t="s">
        <v>438</v>
      </c>
      <c r="J52446" s="15"/>
    </row>
    <row r="52447">
      <c r="B52447" s="14" t="s">
        <v>438</v>
      </c>
      <c r="J52447" s="15"/>
    </row>
    <row r="52448">
      <c r="B52448" s="14" t="s">
        <v>438</v>
      </c>
      <c r="J52448" s="15"/>
    </row>
    <row r="52449">
      <c r="B52449" s="14" t="s">
        <v>438</v>
      </c>
      <c r="J52449" s="15"/>
    </row>
    <row r="52450">
      <c r="B52450" s="14" t="s">
        <v>438</v>
      </c>
      <c r="J52450" s="15"/>
    </row>
    <row r="52451">
      <c r="B52451" s="14" t="s">
        <v>438</v>
      </c>
      <c r="J52451" s="15"/>
    </row>
    <row r="52452">
      <c r="B52452" s="14" t="s">
        <v>438</v>
      </c>
      <c r="J52452" s="15"/>
    </row>
    <row r="52453">
      <c r="B52453" s="14" t="s">
        <v>438</v>
      </c>
      <c r="J52453" s="15"/>
    </row>
    <row r="52454">
      <c r="B52454" s="14" t="s">
        <v>438</v>
      </c>
      <c r="J52454" s="15"/>
    </row>
    <row r="52455">
      <c r="B52455" s="14" t="s">
        <v>438</v>
      </c>
      <c r="J52455" s="15"/>
    </row>
    <row r="52456">
      <c r="B52456" s="14" t="s">
        <v>438</v>
      </c>
      <c r="J52456" s="15"/>
    </row>
    <row r="52457">
      <c r="B52457" s="14" t="s">
        <v>438</v>
      </c>
      <c r="J52457" s="15"/>
    </row>
    <row r="52458">
      <c r="B52458" s="14" t="s">
        <v>438</v>
      </c>
      <c r="J52458" s="15"/>
    </row>
    <row r="52459">
      <c r="B52459" s="14" t="s">
        <v>438</v>
      </c>
      <c r="J52459" s="15"/>
    </row>
    <row r="52460">
      <c r="B52460" s="14" t="s">
        <v>438</v>
      </c>
      <c r="J52460" s="15"/>
    </row>
    <row r="52461">
      <c r="B52461" s="14" t="s">
        <v>438</v>
      </c>
      <c r="J52461" s="15"/>
    </row>
    <row r="52462">
      <c r="B52462" s="14" t="s">
        <v>438</v>
      </c>
      <c r="J52462" s="15"/>
    </row>
    <row r="52463">
      <c r="B52463" s="14" t="s">
        <v>438</v>
      </c>
      <c r="J52463" s="15"/>
    </row>
    <row r="52464">
      <c r="B52464" s="14" t="s">
        <v>438</v>
      </c>
      <c r="J52464" s="15"/>
    </row>
    <row r="52465">
      <c r="B52465" s="14" t="s">
        <v>438</v>
      </c>
      <c r="J52465" s="15"/>
    </row>
    <row r="52466">
      <c r="B52466" s="14" t="s">
        <v>438</v>
      </c>
      <c r="J52466" s="15"/>
    </row>
    <row r="52467">
      <c r="B52467" s="14" t="s">
        <v>438</v>
      </c>
      <c r="J52467" s="15"/>
    </row>
    <row r="52468">
      <c r="B52468" s="14" t="s">
        <v>438</v>
      </c>
      <c r="J52468" s="15"/>
    </row>
    <row r="52469">
      <c r="B52469" s="14" t="s">
        <v>438</v>
      </c>
      <c r="J52469" s="15"/>
    </row>
    <row r="52470">
      <c r="B52470" s="14" t="s">
        <v>438</v>
      </c>
      <c r="J52470" s="15"/>
    </row>
    <row r="52471">
      <c r="B52471" s="14" t="s">
        <v>438</v>
      </c>
      <c r="J52471" s="15"/>
    </row>
    <row r="52472">
      <c r="B52472" s="14" t="s">
        <v>438</v>
      </c>
      <c r="J52472" s="15"/>
    </row>
    <row r="52473">
      <c r="B52473" s="14" t="s">
        <v>438</v>
      </c>
      <c r="J52473" s="15"/>
    </row>
    <row r="52474">
      <c r="B52474" s="14" t="s">
        <v>438</v>
      </c>
      <c r="J52474" s="15"/>
    </row>
    <row r="52475">
      <c r="B52475" s="14" t="s">
        <v>438</v>
      </c>
      <c r="J52475" s="15"/>
    </row>
    <row r="52476">
      <c r="B52476" s="14" t="s">
        <v>438</v>
      </c>
      <c r="J52476" s="15"/>
    </row>
    <row r="52477">
      <c r="B52477" s="14" t="s">
        <v>438</v>
      </c>
      <c r="J52477" s="15"/>
    </row>
    <row r="52478">
      <c r="B52478" s="14" t="s">
        <v>438</v>
      </c>
      <c r="J52478" s="15"/>
    </row>
    <row r="52479">
      <c r="B52479" s="14" t="s">
        <v>438</v>
      </c>
      <c r="J52479" s="15"/>
    </row>
    <row r="52480">
      <c r="B52480" s="14" t="s">
        <v>438</v>
      </c>
      <c r="J52480" s="15"/>
    </row>
    <row r="52481">
      <c r="B52481" s="14" t="s">
        <v>438</v>
      </c>
      <c r="J52481" s="15"/>
    </row>
    <row r="52482">
      <c r="B52482" s="14" t="s">
        <v>438</v>
      </c>
      <c r="J52482" s="15"/>
    </row>
    <row r="52483">
      <c r="B52483" s="14" t="s">
        <v>438</v>
      </c>
      <c r="J52483" s="15"/>
    </row>
    <row r="52484">
      <c r="B52484" s="14" t="s">
        <v>438</v>
      </c>
      <c r="J52484" s="15"/>
    </row>
    <row r="52485">
      <c r="B52485" s="14" t="s">
        <v>438</v>
      </c>
      <c r="J52485" s="15"/>
    </row>
    <row r="52486">
      <c r="B52486" s="14" t="s">
        <v>438</v>
      </c>
      <c r="J52486" s="15"/>
    </row>
    <row r="52487">
      <c r="B52487" s="14" t="s">
        <v>438</v>
      </c>
      <c r="J52487" s="15"/>
    </row>
    <row r="52488">
      <c r="B52488" s="14" t="s">
        <v>438</v>
      </c>
      <c r="J52488" s="15"/>
    </row>
    <row r="52489">
      <c r="B52489" s="14" t="s">
        <v>438</v>
      </c>
      <c r="J52489" s="15"/>
    </row>
    <row r="52490">
      <c r="B52490" s="14" t="s">
        <v>438</v>
      </c>
      <c r="J52490" s="15"/>
    </row>
    <row r="52491">
      <c r="B52491" s="14" t="s">
        <v>438</v>
      </c>
      <c r="J52491" s="15"/>
    </row>
    <row r="52492">
      <c r="B52492" s="14" t="s">
        <v>438</v>
      </c>
      <c r="J52492" s="15"/>
    </row>
    <row r="52493">
      <c r="B52493" s="14" t="s">
        <v>438</v>
      </c>
      <c r="J52493" s="15"/>
    </row>
    <row r="52494">
      <c r="B52494" s="14" t="s">
        <v>438</v>
      </c>
      <c r="J52494" s="15"/>
    </row>
    <row r="52495">
      <c r="B52495" s="14" t="s">
        <v>438</v>
      </c>
      <c r="J52495" s="15"/>
    </row>
    <row r="52496">
      <c r="B52496" s="14" t="s">
        <v>438</v>
      </c>
      <c r="J52496" s="15"/>
    </row>
    <row r="52497">
      <c r="B52497" s="14" t="s">
        <v>438</v>
      </c>
      <c r="J52497" s="15"/>
    </row>
    <row r="52498">
      <c r="B52498" s="14" t="s">
        <v>438</v>
      </c>
      <c r="J52498" s="15"/>
    </row>
    <row r="52499">
      <c r="B52499" s="14" t="s">
        <v>438</v>
      </c>
      <c r="J52499" s="15"/>
    </row>
    <row r="52500">
      <c r="B52500" s="14" t="s">
        <v>438</v>
      </c>
      <c r="J52500" s="15"/>
    </row>
    <row r="52501">
      <c r="B52501" s="14" t="s">
        <v>438</v>
      </c>
      <c r="J52501" s="15"/>
    </row>
    <row r="52502">
      <c r="B52502" s="14" t="s">
        <v>438</v>
      </c>
      <c r="J52502" s="15"/>
    </row>
    <row r="52503">
      <c r="B52503" s="14" t="s">
        <v>438</v>
      </c>
      <c r="J52503" s="15"/>
    </row>
    <row r="52504">
      <c r="B52504" s="14" t="s">
        <v>438</v>
      </c>
      <c r="J52504" s="15"/>
    </row>
    <row r="52505">
      <c r="B52505" s="14" t="s">
        <v>438</v>
      </c>
      <c r="J52505" s="15"/>
    </row>
    <row r="52506">
      <c r="B52506" s="14" t="s">
        <v>438</v>
      </c>
      <c r="J52506" s="15"/>
    </row>
    <row r="52507">
      <c r="B52507" s="14" t="s">
        <v>438</v>
      </c>
      <c r="J52507" s="15"/>
    </row>
    <row r="52508">
      <c r="B52508" s="14" t="s">
        <v>438</v>
      </c>
      <c r="J52508" s="15"/>
    </row>
    <row r="52509">
      <c r="B52509" s="14" t="s">
        <v>438</v>
      </c>
      <c r="J52509" s="15"/>
    </row>
    <row r="52510">
      <c r="B52510" s="14" t="s">
        <v>438</v>
      </c>
      <c r="J52510" s="15"/>
    </row>
    <row r="52511">
      <c r="B52511" s="14" t="s">
        <v>438</v>
      </c>
      <c r="J52511" s="15"/>
    </row>
    <row r="52512">
      <c r="B52512" s="14" t="s">
        <v>438</v>
      </c>
      <c r="J52512" s="15"/>
    </row>
    <row r="52513">
      <c r="B52513" s="14" t="s">
        <v>438</v>
      </c>
      <c r="J52513" s="15"/>
    </row>
    <row r="52514">
      <c r="B52514" s="14" t="s">
        <v>438</v>
      </c>
      <c r="J52514" s="15"/>
    </row>
    <row r="52515">
      <c r="B52515" s="14" t="s">
        <v>438</v>
      </c>
      <c r="J52515" s="15"/>
    </row>
    <row r="52516">
      <c r="B52516" s="14" t="s">
        <v>438</v>
      </c>
      <c r="J52516" s="15"/>
    </row>
    <row r="52517">
      <c r="B52517" s="14" t="s">
        <v>438</v>
      </c>
      <c r="J52517" s="15"/>
    </row>
    <row r="52518">
      <c r="B52518" s="14" t="s">
        <v>438</v>
      </c>
      <c r="J52518" s="15"/>
    </row>
    <row r="52519">
      <c r="B52519" s="14" t="s">
        <v>438</v>
      </c>
      <c r="J52519" s="15"/>
    </row>
    <row r="52520">
      <c r="B52520" s="14" t="s">
        <v>438</v>
      </c>
      <c r="J52520" s="15"/>
    </row>
    <row r="52521">
      <c r="B52521" s="14" t="s">
        <v>438</v>
      </c>
      <c r="J52521" s="15"/>
    </row>
    <row r="52522">
      <c r="B52522" s="14" t="s">
        <v>438</v>
      </c>
      <c r="J52522" s="15"/>
    </row>
    <row r="52523">
      <c r="B52523" s="14" t="s">
        <v>438</v>
      </c>
      <c r="J52523" s="15"/>
    </row>
    <row r="52524">
      <c r="B52524" s="14" t="s">
        <v>438</v>
      </c>
      <c r="J52524" s="15"/>
    </row>
    <row r="52525">
      <c r="B52525" s="14" t="s">
        <v>438</v>
      </c>
      <c r="J52525" s="15"/>
    </row>
    <row r="52526">
      <c r="B52526" s="14" t="s">
        <v>438</v>
      </c>
      <c r="J52526" s="15"/>
    </row>
    <row r="52527">
      <c r="B52527" s="14" t="s">
        <v>438</v>
      </c>
      <c r="J52527" s="15"/>
    </row>
    <row r="52528">
      <c r="B52528" s="14" t="s">
        <v>438</v>
      </c>
      <c r="J52528" s="15"/>
    </row>
    <row r="52529">
      <c r="B52529" s="14" t="s">
        <v>438</v>
      </c>
      <c r="J52529" s="15"/>
    </row>
    <row r="52530">
      <c r="B52530" s="14" t="s">
        <v>438</v>
      </c>
      <c r="J52530" s="15"/>
    </row>
    <row r="52531">
      <c r="B52531" s="14" t="s">
        <v>438</v>
      </c>
      <c r="J52531" s="15"/>
    </row>
    <row r="52532">
      <c r="B52532" s="14" t="s">
        <v>438</v>
      </c>
      <c r="J52532" s="15"/>
    </row>
    <row r="52533">
      <c r="B52533" s="14" t="s">
        <v>438</v>
      </c>
      <c r="J52533" s="15"/>
    </row>
    <row r="52534">
      <c r="B52534" s="14" t="s">
        <v>438</v>
      </c>
      <c r="J52534" s="15"/>
    </row>
  </sheetData>
  <conditionalFormatting sqref="E1:E52534">
    <cfRule type="containsText" dxfId="5" priority="1" operator="containsText" text="&quot;Muy cansado&quot;">
      <formula>NOT(ISERROR(SEARCH(("""Muy cansado"""),(E1))))</formula>
    </cfRule>
  </conditionalFormatting>
  <conditionalFormatting sqref="H2:H52534">
    <cfRule type="containsText" dxfId="5" priority="2" operator="containsText" text="adolorido">
      <formula>NOT(ISERROR(SEARCH(("adolorido"),(H2))))</formula>
    </cfRule>
  </conditionalFormatting>
  <conditionalFormatting sqref="J1:J52534">
    <cfRule type="containsText" dxfId="6" priority="3" operator="containsText" text="7">
      <formula>NOT(ISERROR(SEARCH(("7"),(J1))))</formula>
    </cfRule>
  </conditionalFormatting>
  <conditionalFormatting sqref="J1:J52534">
    <cfRule type="containsText" dxfId="6" priority="4" operator="containsText" text="8">
      <formula>NOT(ISERROR(SEARCH(("8"),(J1))))</formula>
    </cfRule>
  </conditionalFormatting>
  <conditionalFormatting sqref="J1:J52534">
    <cfRule type="containsText" dxfId="6" priority="5" operator="containsText" text="9">
      <formula>NOT(ISERROR(SEARCH(("9"),(J1))))</formula>
    </cfRule>
  </conditionalFormatting>
  <conditionalFormatting sqref="J1:J52534">
    <cfRule type="containsText" dxfId="7" priority="6" operator="containsText" text="6">
      <formula>NOT(ISERROR(SEARCH(("6"),(J1))))</formula>
    </cfRule>
  </conditionalFormatting>
  <conditionalFormatting sqref="G1:G5253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